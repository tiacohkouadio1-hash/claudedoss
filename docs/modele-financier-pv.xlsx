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Cas client" sheetId="2" state="visible" r:id="rId2"/>
    <sheet name="Comparatif configs" sheetId="3" state="visible" r:id="rId3"/>
    <sheet name="Cash-flow B1" sheetId="4" state="visible" r:id="rId4"/>
    <sheet name="Cash-flow B2" sheetId="5" state="visible" r:id="rId5"/>
    <sheet name="Cash-flow B3" sheetId="6" state="visible" r:id="rId6"/>
    <sheet name="Sensibilit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&quot; FCFA&quot;;(#,##0)&quot; FCFA&quot;;&quot;-&quot;"/>
    <numFmt numFmtId="166" formatCode="#,##0&quot; FCFA/kWh&quot;"/>
    <numFmt numFmtId="167" formatCode="#,##0&quot; kWh&quot;"/>
    <numFmt numFmtId="168" formatCode="#,##0.0&quot; kWc&quot;"/>
    <numFmt numFmtId="169" formatCode="#,##0&quot; m²&quot;"/>
    <numFmt numFmtId="170" formatCode="#,##0.0&quot; ans&quot;"/>
  </numFmts>
  <fonts count="13">
    <font>
      <name val="Calibri"/>
      <family val="2"/>
      <color theme="1"/>
      <sz val="11"/>
      <scheme val="minor"/>
    </font>
    <font>
      <name val="Arial"/>
      <b val="1"/>
      <color rgb="FF14212B"/>
      <sz val="14"/>
    </font>
    <font>
      <name val="Arial"/>
      <i val="1"/>
      <color rgb="FF5B6B78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color rgb="FF5B6B78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b val="1"/>
      <color rgb="FF14212B"/>
      <sz val="10"/>
    </font>
    <font>
      <name val="Arial"/>
      <b val="1"/>
      <color rgb="FFFFFFFF"/>
      <sz val="9"/>
    </font>
    <font>
      <name val="Arial"/>
      <b val="1"/>
      <color rgb="FF008000"/>
      <sz val="10"/>
    </font>
    <font>
      <name val="Arial"/>
      <b val="1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00F5A623"/>
      </patternFill>
    </fill>
    <fill>
      <patternFill patternType="solid">
        <fgColor rgb="001F4E5C"/>
      </patternFill>
    </fill>
    <fill>
      <patternFill patternType="solid">
        <fgColor rgb="00FFFF00"/>
      </patternFill>
    </fill>
    <fill>
      <patternFill patternType="solid">
        <fgColor rgb="00DCE6EA"/>
      </patternFill>
    </fill>
  </fills>
  <borders count="2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3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4" fillId="3" borderId="0" pivotButton="0" quotePrefix="0" xfId="0"/>
    <xf numFmtId="167" fontId="4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165" fontId="8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5" fontId="9" fillId="0" borderId="0" pivotButton="0" quotePrefix="0" xfId="0"/>
    <xf numFmtId="165" fontId="8" fillId="0" borderId="0" pivotButton="0" quotePrefix="0" xfId="0"/>
    <xf numFmtId="164" fontId="7" fillId="0" borderId="0" pivotButton="0" quotePrefix="0" xfId="0"/>
    <xf numFmtId="170" fontId="8" fillId="0" borderId="0" pivotButton="0" quotePrefix="0" xfId="0"/>
    <xf numFmtId="0" fontId="10" fillId="3" borderId="1" applyAlignment="1" pivotButton="0" quotePrefix="0" xfId="0">
      <alignment horizontal="center" vertical="center"/>
    </xf>
    <xf numFmtId="3" fontId="4" fillId="0" borderId="0" pivotButton="0" quotePrefix="0" xfId="0"/>
    <xf numFmtId="3" fontId="3" fillId="3" borderId="1" applyAlignment="1" pivotButton="0" quotePrefix="0" xfId="0">
      <alignment horizontal="center" vertical="center"/>
    </xf>
    <xf numFmtId="166" fontId="12" fillId="5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Modèle financier PV — Hypothèses</t>
        </is>
      </c>
      <c r="B1" s="2" t="n"/>
      <c r="C1" s="2" t="n"/>
      <c r="D1" s="2" t="n"/>
    </row>
    <row r="2">
      <c r="A2" s="3" t="inlineStr">
        <is>
          <t>Légende : cellules en BLEU = à modifier (hypothèses) · JAUNE = paramètres clés · NOIR = calculées automatiquement.</t>
        </is>
      </c>
    </row>
    <row r="4">
      <c r="A4" s="4" t="inlineStr">
        <is>
          <t>Paramètre</t>
        </is>
      </c>
      <c r="B4" s="5" t="inlineStr">
        <is>
          <t>Valeur</t>
        </is>
      </c>
      <c r="C4" s="5" t="inlineStr">
        <is>
          <t>Unité</t>
        </is>
      </c>
    </row>
    <row r="5">
      <c r="A5" s="6" t="inlineStr">
        <is>
          <t>Productible spécifique (Abidjan)</t>
        </is>
      </c>
      <c r="B5" s="7" t="n">
        <v>1400</v>
      </c>
      <c r="C5" s="8" t="inlineStr">
        <is>
          <t>kWh/kWc/an</t>
        </is>
      </c>
    </row>
    <row r="6">
      <c r="A6" s="6" t="inlineStr">
        <is>
          <t>Dégradation annuelle des modules</t>
        </is>
      </c>
      <c r="B6" s="9" t="n">
        <v>0.007</v>
      </c>
      <c r="C6" s="8" t="inlineStr">
        <is>
          <t>/an</t>
        </is>
      </c>
    </row>
    <row r="7">
      <c r="A7" s="6" t="inlineStr">
        <is>
          <t>Puissance par panneau</t>
        </is>
      </c>
      <c r="B7" s="10" t="n">
        <v>500</v>
      </c>
      <c r="C7" s="8" t="inlineStr">
        <is>
          <t>Wc</t>
        </is>
      </c>
    </row>
    <row r="8">
      <c r="A8" s="6" t="inlineStr">
        <is>
          <t>Surface par kWc</t>
        </is>
      </c>
      <c r="B8" s="10" t="n">
        <v>6.5</v>
      </c>
      <c r="C8" s="8" t="inlineStr">
        <is>
          <t>m²/kWc</t>
        </is>
      </c>
    </row>
    <row r="9">
      <c r="A9" s="6" t="inlineStr">
        <is>
          <t>Tarif électricité initial</t>
        </is>
      </c>
      <c r="B9" s="7" t="n">
        <v>80</v>
      </c>
      <c r="C9" s="8" t="inlineStr">
        <is>
          <t>FCFA/kWh</t>
        </is>
      </c>
    </row>
    <row r="10">
      <c r="A10" s="6" t="inlineStr">
        <is>
          <t>Inflation du tarif électricité</t>
        </is>
      </c>
      <c r="B10" s="9" t="n">
        <v>0.03</v>
      </c>
      <c r="C10" s="8" t="inlineStr">
        <is>
          <t>/an</t>
        </is>
      </c>
    </row>
    <row r="11">
      <c r="A11" s="6" t="inlineStr">
        <is>
          <t>O&amp;M annuel (% du CAPEX)</t>
        </is>
      </c>
      <c r="B11" s="9" t="n">
        <v>0.015</v>
      </c>
      <c r="C11" s="8" t="inlineStr">
        <is>
          <t>% CAPEX</t>
        </is>
      </c>
    </row>
    <row r="12">
      <c r="A12" s="6" t="inlineStr">
        <is>
          <t>Durée d'analyse</t>
        </is>
      </c>
      <c r="B12" s="10" t="n">
        <v>25</v>
      </c>
      <c r="C12" s="8" t="inlineStr">
        <is>
          <t>ans</t>
        </is>
      </c>
    </row>
    <row r="13">
      <c r="A13" s="6" t="inlineStr">
        <is>
          <t>Taux d'actualisation (VAN)</t>
        </is>
      </c>
      <c r="B13" s="9" t="n">
        <v>0.08</v>
      </c>
      <c r="C13" s="8" t="inlineStr">
        <is>
          <t>/an</t>
        </is>
      </c>
    </row>
    <row r="15">
      <c r="A15" s="4" t="inlineStr">
        <is>
          <t>Paramètres par configuration</t>
        </is>
      </c>
      <c r="B15" s="5" t="inlineStr">
        <is>
          <t>B1 · Injection directe</t>
        </is>
      </c>
      <c r="C15" s="5" t="inlineStr">
        <is>
          <t>B2 · Hybride (batterie)</t>
        </is>
      </c>
      <c r="D15" s="5" t="inlineStr">
        <is>
          <t>B3 · Sur-mesure</t>
        </is>
      </c>
    </row>
    <row r="16">
      <c r="A16" s="6" t="inlineStr">
        <is>
          <t>Coût unitaire (FCFA/kWc)</t>
        </is>
      </c>
      <c r="B16" s="7" t="n">
        <v>700000</v>
      </c>
      <c r="C16" s="7" t="n">
        <v>1500000</v>
      </c>
      <c r="D16" s="7" t="n">
        <v>1100000</v>
      </c>
    </row>
    <row r="17">
      <c r="A17" s="6" t="inlineStr">
        <is>
          <t>Taux d'autoconsommation</t>
        </is>
      </c>
      <c r="B17" s="9" t="n">
        <v>0.65</v>
      </c>
      <c r="C17" s="9" t="n">
        <v>0.9</v>
      </c>
      <c r="D17" s="9" t="n">
        <v>0.8</v>
      </c>
    </row>
    <row r="18">
      <c r="A18" s="6" t="inlineStr">
        <is>
          <t>Remplacement onduleur an 12 (% CAPEX)</t>
        </is>
      </c>
      <c r="B18" s="9" t="n">
        <v>0.08</v>
      </c>
      <c r="C18" s="9" t="n">
        <v>0.08</v>
      </c>
      <c r="D18" s="9" t="n">
        <v>0.08</v>
      </c>
    </row>
    <row r="19">
      <c r="A19" s="6" t="inlineStr">
        <is>
          <t>Remplacement batterie an 10 (% CAPEX)</t>
        </is>
      </c>
      <c r="B19" s="9" t="n">
        <v>0</v>
      </c>
      <c r="C19" s="9" t="n">
        <v>0.3</v>
      </c>
      <c r="D19" s="9" t="n">
        <v>0.15</v>
      </c>
    </row>
    <row r="21">
      <c r="A21" s="3" t="inlineStr">
        <is>
          <t>Sources : voir docs/etude-photovoltaique-abidjan.md et docs/business-plan.md. Coûts et tarif à confirmer par devis fournisseurs / factures CIE.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>
      <c r="A1" s="1" t="inlineStr">
        <is>
          <t>Cas client — dimensionnement à partir de la facture</t>
        </is>
      </c>
      <c r="B1" s="2" t="n"/>
      <c r="C1" s="2" t="n"/>
    </row>
    <row r="2">
      <c r="A2" s="3" t="inlineStr">
        <is>
          <t>Renseignez les 3 cellules jaunes ci-dessous ; le reste se calcule tout seul.</t>
        </is>
      </c>
    </row>
    <row r="4">
      <c r="A4" s="4" t="inlineStr">
        <is>
          <t>Données client (à remplir)</t>
        </is>
      </c>
      <c r="B4" s="5" t="inlineStr">
        <is>
          <t>Valeur</t>
        </is>
      </c>
      <c r="C4" s="5" t="inlineStr">
        <is>
          <t>Unité</t>
        </is>
      </c>
    </row>
    <row r="5">
      <c r="A5" s="6" t="inlineStr">
        <is>
          <t>Facture mensuelle moyenne</t>
        </is>
      </c>
      <c r="B5" s="11" t="n">
        <v>45000</v>
      </c>
      <c r="C5" s="8" t="inlineStr">
        <is>
          <t>FCFA/mois</t>
        </is>
      </c>
    </row>
    <row r="6">
      <c r="A6" s="6" t="inlineStr">
        <is>
          <t>Tarif électricité appliqué</t>
        </is>
      </c>
      <c r="B6" s="12">
        <f>Hypothèses!$B$9</f>
        <v/>
      </c>
      <c r="C6" s="8" t="inlineStr">
        <is>
          <t>FCFA/kWh</t>
        </is>
      </c>
    </row>
    <row r="7">
      <c r="A7" s="6" t="inlineStr">
        <is>
          <t>Taux de couverture solaire visé</t>
        </is>
      </c>
      <c r="B7" s="13" t="n">
        <v>0.8</v>
      </c>
      <c r="C7" s="8" t="inlineStr">
        <is>
          <t>% conso</t>
        </is>
      </c>
    </row>
    <row r="9">
      <c r="A9" s="4" t="inlineStr">
        <is>
          <t>Dimensionnement (calculé)</t>
        </is>
      </c>
      <c r="B9" s="14" t="inlineStr"/>
      <c r="C9" s="14" t="inlineStr"/>
    </row>
    <row r="10">
      <c r="A10" s="6" t="inlineStr">
        <is>
          <t>Consommation mensuelle</t>
        </is>
      </c>
      <c r="B10" s="15">
        <f>B5/B6</f>
        <v/>
      </c>
      <c r="C10" s="8" t="inlineStr">
        <is>
          <t>kWh/mois</t>
        </is>
      </c>
    </row>
    <row r="11">
      <c r="A11" s="6" t="inlineStr">
        <is>
          <t>Consommation annuelle</t>
        </is>
      </c>
      <c r="B11" s="16">
        <f>B10*12</f>
        <v/>
      </c>
      <c r="C11" s="8" t="inlineStr">
        <is>
          <t>kWh/an</t>
        </is>
      </c>
    </row>
    <row r="12">
      <c r="A12" s="6" t="inlineStr">
        <is>
          <t>Consommation à couvrir</t>
        </is>
      </c>
      <c r="B12" s="15">
        <f>B11*B7</f>
        <v/>
      </c>
      <c r="C12" s="8" t="inlineStr">
        <is>
          <t>kWh/an</t>
        </is>
      </c>
    </row>
    <row r="13">
      <c r="A13" s="6" t="inlineStr">
        <is>
          <t>Puissance crête recommandée</t>
        </is>
      </c>
      <c r="B13" s="17">
        <f>B12/Hypothèses!$B$5</f>
        <v/>
      </c>
      <c r="C13" s="8" t="inlineStr">
        <is>
          <t>kWc</t>
        </is>
      </c>
    </row>
    <row r="14">
      <c r="A14" s="6" t="inlineStr">
        <is>
          <t>Nombre de panneaux</t>
        </is>
      </c>
      <c r="B14" s="18">
        <f>ROUNDUP(B13*1000/Hypothèses!$B$7,0)</f>
        <v/>
      </c>
      <c r="C14" s="8" t="inlineStr">
        <is>
          <t>panneaux</t>
        </is>
      </c>
    </row>
    <row r="15">
      <c r="A15" s="6" t="inlineStr">
        <is>
          <t>Surface de toiture estimée</t>
        </is>
      </c>
      <c r="B15" s="19">
        <f>B13*Hypothèses!$B$8</f>
        <v/>
      </c>
      <c r="C15" s="8" t="inlineStr">
        <is>
          <t>m²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Comparatif des 3 configurations</t>
        </is>
      </c>
      <c r="B1" s="2" t="n"/>
      <c r="C1" s="2" t="n"/>
      <c r="D1" s="2" t="n"/>
    </row>
    <row r="2">
      <c r="A2" s="3" t="inlineStr">
        <is>
          <t>Même puissance (depuis « Cas client ») comparée sur les 3 architectures.</t>
        </is>
      </c>
    </row>
    <row r="4">
      <c r="A4" s="20" t="inlineStr">
        <is>
          <t>Indicateur</t>
        </is>
      </c>
      <c r="B4" s="21" t="inlineStr">
        <is>
          <t>B1 · Injection</t>
        </is>
      </c>
      <c r="C4" s="21" t="inlineStr">
        <is>
          <t>B2 · Hybride</t>
        </is>
      </c>
      <c r="D4" s="21" t="inlineStr">
        <is>
          <t>B3 · Sur-mesure</t>
        </is>
      </c>
    </row>
    <row r="5">
      <c r="A5" s="6" t="inlineStr">
        <is>
          <t>Puissance (kWc)</t>
        </is>
      </c>
      <c r="B5" s="22">
        <f>'Cas client'!$B$13</f>
        <v/>
      </c>
      <c r="C5" s="22">
        <f>'Cas client'!$B$13</f>
        <v/>
      </c>
      <c r="D5" s="22">
        <f>'Cas client'!$B$13</f>
        <v/>
      </c>
    </row>
    <row r="6">
      <c r="A6" s="23" t="inlineStr">
        <is>
          <t>CAPEX (investissement)</t>
        </is>
      </c>
      <c r="B6" s="24">
        <f>'Cas client'!$B$13*Hypothèses!$B$16</f>
        <v/>
      </c>
      <c r="C6" s="24">
        <f>'Cas client'!$B$13*Hypothèses!$C$16</f>
        <v/>
      </c>
      <c r="D6" s="24">
        <f>'Cas client'!$B$13*Hypothèses!$D$16</f>
        <v/>
      </c>
    </row>
    <row r="7">
      <c r="A7" s="6" t="inlineStr">
        <is>
          <t>Production année 1</t>
        </is>
      </c>
      <c r="B7" s="18">
        <f>'Cas client'!$B$13*Hypothèses!$B$5</f>
        <v/>
      </c>
      <c r="C7" s="18">
        <f>'Cas client'!$B$13*Hypothèses!$B$5</f>
        <v/>
      </c>
      <c r="D7" s="18">
        <f>'Cas client'!$B$13*Hypothèses!$B$5</f>
        <v/>
      </c>
    </row>
    <row r="8">
      <c r="A8" s="6" t="inlineStr">
        <is>
          <t>Énergie autoconsommée an 1</t>
        </is>
      </c>
      <c r="B8" s="18">
        <f>MIN('Cas client'!$B$13*Hypothèses!$B$5*Hypothèses!$B$17,'Cas client'!$B$11)</f>
        <v/>
      </c>
      <c r="C8" s="18">
        <f>MIN('Cas client'!$B$13*Hypothèses!$B$5*Hypothèses!$C$17,'Cas client'!$B$11)</f>
        <v/>
      </c>
      <c r="D8" s="18">
        <f>MIN('Cas client'!$B$13*Hypothèses!$B$5*Hypothèses!$D$17,'Cas client'!$B$11)</f>
        <v/>
      </c>
    </row>
    <row r="9">
      <c r="A9" s="6" t="inlineStr">
        <is>
          <t>Économie brute an 1</t>
        </is>
      </c>
      <c r="B9" s="25">
        <f>MIN('Cas client'!$B$13*Hypothèses!$B$5*Hypothèses!$B$17,'Cas client'!$B$11)*'Cas client'!$B$6</f>
        <v/>
      </c>
      <c r="C9" s="25">
        <f>MIN('Cas client'!$B$13*Hypothèses!$B$5*Hypothèses!$C$17,'Cas client'!$B$11)*'Cas client'!$B$6</f>
        <v/>
      </c>
      <c r="D9" s="25">
        <f>MIN('Cas client'!$B$13*Hypothèses!$B$5*Hypothèses!$D$17,'Cas client'!$B$11)*'Cas client'!$B$6</f>
        <v/>
      </c>
    </row>
    <row r="10">
      <c r="A10" s="6" t="inlineStr">
        <is>
          <t>O&amp;M an 1</t>
        </is>
      </c>
      <c r="B10" s="25">
        <f>'Cas client'!$B$13*Hypothèses!$B$16*Hypothèses!$B$11</f>
        <v/>
      </c>
      <c r="C10" s="25">
        <f>'Cas client'!$B$13*Hypothèses!$C$16*Hypothèses!$B$11</f>
        <v/>
      </c>
      <c r="D10" s="25">
        <f>'Cas client'!$B$13*Hypothèses!$D$16*Hypothèses!$B$11</f>
        <v/>
      </c>
    </row>
    <row r="11">
      <c r="A11" s="23" t="inlineStr">
        <is>
          <t>Économie nette an 1</t>
        </is>
      </c>
      <c r="B11" s="24">
        <f>B9-B10</f>
        <v/>
      </c>
      <c r="C11" s="24">
        <f>C9-C10</f>
        <v/>
      </c>
      <c r="D11" s="24">
        <f>D9-D10</f>
        <v/>
      </c>
    </row>
    <row r="12">
      <c r="A12" s="23" t="inlineStr">
        <is>
          <t>Payback brut (années)</t>
        </is>
      </c>
      <c r="B12" s="26">
        <f>IFERROR(B6/B11,"n/a")</f>
        <v/>
      </c>
      <c r="C12" s="26">
        <f>IFERROR(C6/C11,"n/a")</f>
        <v/>
      </c>
      <c r="D12" s="26">
        <f>IFERROR(D6/D11,"n/a")</f>
        <v/>
      </c>
    </row>
    <row r="13">
      <c r="A13" s="23" t="inlineStr">
        <is>
          <t>VAN 25 ans (actualisée)</t>
        </is>
      </c>
      <c r="B13" s="27">
        <f>'Cash-flow B1'!$H$3</f>
        <v/>
      </c>
      <c r="C13" s="27">
        <f>'Cash-flow B2'!$H$3</f>
        <v/>
      </c>
      <c r="D13" s="27">
        <f>'Cash-flow B3'!$H$3</f>
        <v/>
      </c>
    </row>
    <row r="14">
      <c r="A14" s="6" t="inlineStr">
        <is>
          <t>Flux cumulé à 25 ans</t>
        </is>
      </c>
      <c r="B14" s="28">
        <f>'Cash-flow B1'!$I$38</f>
        <v/>
      </c>
      <c r="C14" s="28">
        <f>'Cash-flow B2'!$I$38</f>
        <v/>
      </c>
      <c r="D14" s="28">
        <f>'Cash-flow B3'!$I$38</f>
        <v/>
      </c>
    </row>
    <row r="16">
      <c r="A16" s="3" t="inlineStr">
        <is>
          <t>Lecture : B1 = meilleur payback (pas de batterie). B2 = confort/nuit (clim) mais retour plus long. VAN positive = projet créateur de valeur sur 25 ans.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hidden="1" width="13" customWidth="1" min="10" max="10"/>
  </cols>
  <sheetData>
    <row r="1">
      <c r="A1" s="1" t="inlineStr">
        <is>
          <t>Cash-flow 25 ans — B1 · Injection directe (sans batterie)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29" t="inlineStr">
        <is>
          <t>Puissance</t>
        </is>
      </c>
      <c r="B3" s="30">
        <f>'Cas client'!$B$13</f>
        <v/>
      </c>
      <c r="D3" s="29" t="inlineStr">
        <is>
          <t>Conso annuelle</t>
        </is>
      </c>
      <c r="E3" s="31">
        <f>'Cas client'!$B$11</f>
        <v/>
      </c>
      <c r="G3" s="29" t="inlineStr">
        <is>
          <t>VAN (25 ans)</t>
        </is>
      </c>
      <c r="H3" s="32">
        <f>NPV(Hypothèses!$B$13,H14:H38)+H13</f>
        <v/>
      </c>
    </row>
    <row r="4">
      <c r="A4" s="29" t="inlineStr">
        <is>
          <t>CAPEX</t>
        </is>
      </c>
      <c r="B4" s="33">
        <f>B3*Hypothèses!$B$16</f>
        <v/>
      </c>
      <c r="D4" s="29" t="inlineStr">
        <is>
          <t>Taux autoconso.</t>
        </is>
      </c>
      <c r="E4" s="34">
        <f>Hypothèses!$B$17</f>
        <v/>
      </c>
      <c r="G4" s="29" t="inlineStr">
        <is>
          <t>Année de rentabilité</t>
        </is>
      </c>
      <c r="H4" s="35">
        <f>IF(MIN(J13:J38)&gt;Hypothèses!$B$12,"&gt;25 ans",MIN(J13:J38))</f>
        <v/>
      </c>
    </row>
    <row r="12">
      <c r="A12" s="36" t="inlineStr">
        <is>
          <t>Année</t>
        </is>
      </c>
      <c r="B12" s="36" t="inlineStr">
        <is>
          <t>Production (kWh)</t>
        </is>
      </c>
      <c r="C12" s="36" t="inlineStr">
        <is>
          <t>Tarif (FCFA/kWh)</t>
        </is>
      </c>
      <c r="D12" s="36" t="inlineStr">
        <is>
          <t>Autoconso. (kWh)</t>
        </is>
      </c>
      <c r="E12" s="36" t="inlineStr">
        <is>
          <t>Économie brute</t>
        </is>
      </c>
      <c r="F12" s="36" t="inlineStr">
        <is>
          <t>O&amp;M</t>
        </is>
      </c>
      <c r="G12" s="36" t="inlineStr">
        <is>
          <t>Remplacements</t>
        </is>
      </c>
      <c r="H12" s="36" t="inlineStr">
        <is>
          <t>Flux net</t>
        </is>
      </c>
      <c r="I12" s="36" t="inlineStr">
        <is>
          <t>Flux cumulé</t>
        </is>
      </c>
    </row>
    <row r="13">
      <c r="A13" s="18" t="n">
        <v>0</v>
      </c>
      <c r="B13" s="15" t="n">
        <v>0</v>
      </c>
      <c r="C13" s="25" t="n">
        <v>0</v>
      </c>
      <c r="D13" s="15" t="n">
        <v>0</v>
      </c>
      <c r="E13" s="25" t="n">
        <v>0</v>
      </c>
      <c r="F13" s="25" t="n">
        <v>0</v>
      </c>
      <c r="G13" s="25" t="n">
        <v>0</v>
      </c>
      <c r="H13" s="25">
        <f>-$B$4</f>
        <v/>
      </c>
      <c r="I13" s="25">
        <f>H13</f>
        <v/>
      </c>
      <c r="J13" s="37">
        <f>IF(I13&gt;=0,A13,9999)</f>
        <v/>
      </c>
    </row>
    <row r="14">
      <c r="A14" s="18" t="n">
        <v>1</v>
      </c>
      <c r="B14" s="18">
        <f>$B$3*Hypothèses!$B$5*(1-Hypothèses!$B$6)^(A14-1)</f>
        <v/>
      </c>
      <c r="C14" s="18">
        <f>Hypothèses!$B$9*(1+Hypothèses!$B$10)^(A14-1)</f>
        <v/>
      </c>
      <c r="D14" s="18">
        <f>MIN(B14*$E$4,$E$3)</f>
        <v/>
      </c>
      <c r="E14" s="25">
        <f>D14*C14</f>
        <v/>
      </c>
      <c r="F14" s="25">
        <f>$B$4*Hypothèses!$B$11</f>
        <v/>
      </c>
      <c r="G14" s="25">
        <f>IF(A14=10,$B$4*Hypothèses!$B$19,0)+IF(A14=12,$B$4*Hypothèses!$B$18,0)</f>
        <v/>
      </c>
      <c r="H14" s="25">
        <f>E14-F14-G14</f>
        <v/>
      </c>
      <c r="I14" s="25">
        <f>I13+H14</f>
        <v/>
      </c>
      <c r="J14" s="37">
        <f>IF(I14&gt;=0,A14,9999)</f>
        <v/>
      </c>
    </row>
    <row r="15">
      <c r="A15" s="18" t="n">
        <v>2</v>
      </c>
      <c r="B15" s="18">
        <f>$B$3*Hypothèses!$B$5*(1-Hypothèses!$B$6)^(A15-1)</f>
        <v/>
      </c>
      <c r="C15" s="18">
        <f>Hypothèses!$B$9*(1+Hypothèses!$B$10)^(A15-1)</f>
        <v/>
      </c>
      <c r="D15" s="18">
        <f>MIN(B15*$E$4,$E$3)</f>
        <v/>
      </c>
      <c r="E15" s="25">
        <f>D15*C15</f>
        <v/>
      </c>
      <c r="F15" s="25">
        <f>$B$4*Hypothèses!$B$11</f>
        <v/>
      </c>
      <c r="G15" s="25">
        <f>IF(A15=10,$B$4*Hypothèses!$B$19,0)+IF(A15=12,$B$4*Hypothèses!$B$18,0)</f>
        <v/>
      </c>
      <c r="H15" s="25">
        <f>E15-F15-G15</f>
        <v/>
      </c>
      <c r="I15" s="25">
        <f>I14+H15</f>
        <v/>
      </c>
      <c r="J15" s="37">
        <f>IF(I15&gt;=0,A15,9999)</f>
        <v/>
      </c>
    </row>
    <row r="16">
      <c r="A16" s="18" t="n">
        <v>3</v>
      </c>
      <c r="B16" s="18">
        <f>$B$3*Hypothèses!$B$5*(1-Hypothèses!$B$6)^(A16-1)</f>
        <v/>
      </c>
      <c r="C16" s="18">
        <f>Hypothèses!$B$9*(1+Hypothèses!$B$10)^(A16-1)</f>
        <v/>
      </c>
      <c r="D16" s="18">
        <f>MIN(B16*$E$4,$E$3)</f>
        <v/>
      </c>
      <c r="E16" s="25">
        <f>D16*C16</f>
        <v/>
      </c>
      <c r="F16" s="25">
        <f>$B$4*Hypothèses!$B$11</f>
        <v/>
      </c>
      <c r="G16" s="25">
        <f>IF(A16=10,$B$4*Hypothèses!$B$19,0)+IF(A16=12,$B$4*Hypothèses!$B$18,0)</f>
        <v/>
      </c>
      <c r="H16" s="25">
        <f>E16-F16-G16</f>
        <v/>
      </c>
      <c r="I16" s="25">
        <f>I15+H16</f>
        <v/>
      </c>
      <c r="J16" s="37">
        <f>IF(I16&gt;=0,A16,9999)</f>
        <v/>
      </c>
    </row>
    <row r="17">
      <c r="A17" s="18" t="n">
        <v>4</v>
      </c>
      <c r="B17" s="18">
        <f>$B$3*Hypothèses!$B$5*(1-Hypothèses!$B$6)^(A17-1)</f>
        <v/>
      </c>
      <c r="C17" s="18">
        <f>Hypothèses!$B$9*(1+Hypothèses!$B$10)^(A17-1)</f>
        <v/>
      </c>
      <c r="D17" s="18">
        <f>MIN(B17*$E$4,$E$3)</f>
        <v/>
      </c>
      <c r="E17" s="25">
        <f>D17*C17</f>
        <v/>
      </c>
      <c r="F17" s="25">
        <f>$B$4*Hypothèses!$B$11</f>
        <v/>
      </c>
      <c r="G17" s="25">
        <f>IF(A17=10,$B$4*Hypothèses!$B$19,0)+IF(A17=12,$B$4*Hypothèses!$B$18,0)</f>
        <v/>
      </c>
      <c r="H17" s="25">
        <f>E17-F17-G17</f>
        <v/>
      </c>
      <c r="I17" s="25">
        <f>I16+H17</f>
        <v/>
      </c>
      <c r="J17" s="37">
        <f>IF(I17&gt;=0,A17,9999)</f>
        <v/>
      </c>
    </row>
    <row r="18">
      <c r="A18" s="18" t="n">
        <v>5</v>
      </c>
      <c r="B18" s="18">
        <f>$B$3*Hypothèses!$B$5*(1-Hypothèses!$B$6)^(A18-1)</f>
        <v/>
      </c>
      <c r="C18" s="18">
        <f>Hypothèses!$B$9*(1+Hypothèses!$B$10)^(A18-1)</f>
        <v/>
      </c>
      <c r="D18" s="18">
        <f>MIN(B18*$E$4,$E$3)</f>
        <v/>
      </c>
      <c r="E18" s="25">
        <f>D18*C18</f>
        <v/>
      </c>
      <c r="F18" s="25">
        <f>$B$4*Hypothèses!$B$11</f>
        <v/>
      </c>
      <c r="G18" s="25">
        <f>IF(A18=10,$B$4*Hypothèses!$B$19,0)+IF(A18=12,$B$4*Hypothèses!$B$18,0)</f>
        <v/>
      </c>
      <c r="H18" s="25">
        <f>E18-F18-G18</f>
        <v/>
      </c>
      <c r="I18" s="25">
        <f>I17+H18</f>
        <v/>
      </c>
      <c r="J18" s="37">
        <f>IF(I18&gt;=0,A18,9999)</f>
        <v/>
      </c>
    </row>
    <row r="19">
      <c r="A19" s="18" t="n">
        <v>6</v>
      </c>
      <c r="B19" s="18">
        <f>$B$3*Hypothèses!$B$5*(1-Hypothèses!$B$6)^(A19-1)</f>
        <v/>
      </c>
      <c r="C19" s="18">
        <f>Hypothèses!$B$9*(1+Hypothèses!$B$10)^(A19-1)</f>
        <v/>
      </c>
      <c r="D19" s="18">
        <f>MIN(B19*$E$4,$E$3)</f>
        <v/>
      </c>
      <c r="E19" s="25">
        <f>D19*C19</f>
        <v/>
      </c>
      <c r="F19" s="25">
        <f>$B$4*Hypothèses!$B$11</f>
        <v/>
      </c>
      <c r="G19" s="25">
        <f>IF(A19=10,$B$4*Hypothèses!$B$19,0)+IF(A19=12,$B$4*Hypothèses!$B$18,0)</f>
        <v/>
      </c>
      <c r="H19" s="25">
        <f>E19-F19-G19</f>
        <v/>
      </c>
      <c r="I19" s="25">
        <f>I18+H19</f>
        <v/>
      </c>
      <c r="J19" s="37">
        <f>IF(I19&gt;=0,A19,9999)</f>
        <v/>
      </c>
    </row>
    <row r="20">
      <c r="A20" s="18" t="n">
        <v>7</v>
      </c>
      <c r="B20" s="18">
        <f>$B$3*Hypothèses!$B$5*(1-Hypothèses!$B$6)^(A20-1)</f>
        <v/>
      </c>
      <c r="C20" s="18">
        <f>Hypothèses!$B$9*(1+Hypothèses!$B$10)^(A20-1)</f>
        <v/>
      </c>
      <c r="D20" s="18">
        <f>MIN(B20*$E$4,$E$3)</f>
        <v/>
      </c>
      <c r="E20" s="25">
        <f>D20*C20</f>
        <v/>
      </c>
      <c r="F20" s="25">
        <f>$B$4*Hypothèses!$B$11</f>
        <v/>
      </c>
      <c r="G20" s="25">
        <f>IF(A20=10,$B$4*Hypothèses!$B$19,0)+IF(A20=12,$B$4*Hypothèses!$B$18,0)</f>
        <v/>
      </c>
      <c r="H20" s="25">
        <f>E20-F20-G20</f>
        <v/>
      </c>
      <c r="I20" s="25">
        <f>I19+H20</f>
        <v/>
      </c>
      <c r="J20" s="37">
        <f>IF(I20&gt;=0,A20,9999)</f>
        <v/>
      </c>
    </row>
    <row r="21">
      <c r="A21" s="18" t="n">
        <v>8</v>
      </c>
      <c r="B21" s="18">
        <f>$B$3*Hypothèses!$B$5*(1-Hypothèses!$B$6)^(A21-1)</f>
        <v/>
      </c>
      <c r="C21" s="18">
        <f>Hypothèses!$B$9*(1+Hypothèses!$B$10)^(A21-1)</f>
        <v/>
      </c>
      <c r="D21" s="18">
        <f>MIN(B21*$E$4,$E$3)</f>
        <v/>
      </c>
      <c r="E21" s="25">
        <f>D21*C21</f>
        <v/>
      </c>
      <c r="F21" s="25">
        <f>$B$4*Hypothèses!$B$11</f>
        <v/>
      </c>
      <c r="G21" s="25">
        <f>IF(A21=10,$B$4*Hypothèses!$B$19,0)+IF(A21=12,$B$4*Hypothèses!$B$18,0)</f>
        <v/>
      </c>
      <c r="H21" s="25">
        <f>E21-F21-G21</f>
        <v/>
      </c>
      <c r="I21" s="25">
        <f>I20+H21</f>
        <v/>
      </c>
      <c r="J21" s="37">
        <f>IF(I21&gt;=0,A21,9999)</f>
        <v/>
      </c>
    </row>
    <row r="22">
      <c r="A22" s="18" t="n">
        <v>9</v>
      </c>
      <c r="B22" s="18">
        <f>$B$3*Hypothèses!$B$5*(1-Hypothèses!$B$6)^(A22-1)</f>
        <v/>
      </c>
      <c r="C22" s="18">
        <f>Hypothèses!$B$9*(1+Hypothèses!$B$10)^(A22-1)</f>
        <v/>
      </c>
      <c r="D22" s="18">
        <f>MIN(B22*$E$4,$E$3)</f>
        <v/>
      </c>
      <c r="E22" s="25">
        <f>D22*C22</f>
        <v/>
      </c>
      <c r="F22" s="25">
        <f>$B$4*Hypothèses!$B$11</f>
        <v/>
      </c>
      <c r="G22" s="25">
        <f>IF(A22=10,$B$4*Hypothèses!$B$19,0)+IF(A22=12,$B$4*Hypothèses!$B$18,0)</f>
        <v/>
      </c>
      <c r="H22" s="25">
        <f>E22-F22-G22</f>
        <v/>
      </c>
      <c r="I22" s="25">
        <f>I21+H22</f>
        <v/>
      </c>
      <c r="J22" s="37">
        <f>IF(I22&gt;=0,A22,9999)</f>
        <v/>
      </c>
    </row>
    <row r="23">
      <c r="A23" s="18" t="n">
        <v>10</v>
      </c>
      <c r="B23" s="18">
        <f>$B$3*Hypothèses!$B$5*(1-Hypothèses!$B$6)^(A23-1)</f>
        <v/>
      </c>
      <c r="C23" s="18">
        <f>Hypothèses!$B$9*(1+Hypothèses!$B$10)^(A23-1)</f>
        <v/>
      </c>
      <c r="D23" s="18">
        <f>MIN(B23*$E$4,$E$3)</f>
        <v/>
      </c>
      <c r="E23" s="25">
        <f>D23*C23</f>
        <v/>
      </c>
      <c r="F23" s="25">
        <f>$B$4*Hypothèses!$B$11</f>
        <v/>
      </c>
      <c r="G23" s="25">
        <f>IF(A23=10,$B$4*Hypothèses!$B$19,0)+IF(A23=12,$B$4*Hypothèses!$B$18,0)</f>
        <v/>
      </c>
      <c r="H23" s="25">
        <f>E23-F23-G23</f>
        <v/>
      </c>
      <c r="I23" s="25">
        <f>I22+H23</f>
        <v/>
      </c>
      <c r="J23" s="37">
        <f>IF(I23&gt;=0,A23,9999)</f>
        <v/>
      </c>
    </row>
    <row r="24">
      <c r="A24" s="18" t="n">
        <v>11</v>
      </c>
      <c r="B24" s="18">
        <f>$B$3*Hypothèses!$B$5*(1-Hypothèses!$B$6)^(A24-1)</f>
        <v/>
      </c>
      <c r="C24" s="18">
        <f>Hypothèses!$B$9*(1+Hypothèses!$B$10)^(A24-1)</f>
        <v/>
      </c>
      <c r="D24" s="18">
        <f>MIN(B24*$E$4,$E$3)</f>
        <v/>
      </c>
      <c r="E24" s="25">
        <f>D24*C24</f>
        <v/>
      </c>
      <c r="F24" s="25">
        <f>$B$4*Hypothèses!$B$11</f>
        <v/>
      </c>
      <c r="G24" s="25">
        <f>IF(A24=10,$B$4*Hypothèses!$B$19,0)+IF(A24=12,$B$4*Hypothèses!$B$18,0)</f>
        <v/>
      </c>
      <c r="H24" s="25">
        <f>E24-F24-G24</f>
        <v/>
      </c>
      <c r="I24" s="25">
        <f>I23+H24</f>
        <v/>
      </c>
      <c r="J24" s="37">
        <f>IF(I24&gt;=0,A24,9999)</f>
        <v/>
      </c>
    </row>
    <row r="25">
      <c r="A25" s="18" t="n">
        <v>12</v>
      </c>
      <c r="B25" s="18">
        <f>$B$3*Hypothèses!$B$5*(1-Hypothèses!$B$6)^(A25-1)</f>
        <v/>
      </c>
      <c r="C25" s="18">
        <f>Hypothèses!$B$9*(1+Hypothèses!$B$10)^(A25-1)</f>
        <v/>
      </c>
      <c r="D25" s="18">
        <f>MIN(B25*$E$4,$E$3)</f>
        <v/>
      </c>
      <c r="E25" s="25">
        <f>D25*C25</f>
        <v/>
      </c>
      <c r="F25" s="25">
        <f>$B$4*Hypothèses!$B$11</f>
        <v/>
      </c>
      <c r="G25" s="25">
        <f>IF(A25=10,$B$4*Hypothèses!$B$19,0)+IF(A25=12,$B$4*Hypothèses!$B$18,0)</f>
        <v/>
      </c>
      <c r="H25" s="25">
        <f>E25-F25-G25</f>
        <v/>
      </c>
      <c r="I25" s="25">
        <f>I24+H25</f>
        <v/>
      </c>
      <c r="J25" s="37">
        <f>IF(I25&gt;=0,A25,9999)</f>
        <v/>
      </c>
    </row>
    <row r="26">
      <c r="A26" s="18" t="n">
        <v>13</v>
      </c>
      <c r="B26" s="18">
        <f>$B$3*Hypothèses!$B$5*(1-Hypothèses!$B$6)^(A26-1)</f>
        <v/>
      </c>
      <c r="C26" s="18">
        <f>Hypothèses!$B$9*(1+Hypothèses!$B$10)^(A26-1)</f>
        <v/>
      </c>
      <c r="D26" s="18">
        <f>MIN(B26*$E$4,$E$3)</f>
        <v/>
      </c>
      <c r="E26" s="25">
        <f>D26*C26</f>
        <v/>
      </c>
      <c r="F26" s="25">
        <f>$B$4*Hypothèses!$B$11</f>
        <v/>
      </c>
      <c r="G26" s="25">
        <f>IF(A26=10,$B$4*Hypothèses!$B$19,0)+IF(A26=12,$B$4*Hypothèses!$B$18,0)</f>
        <v/>
      </c>
      <c r="H26" s="25">
        <f>E26-F26-G26</f>
        <v/>
      </c>
      <c r="I26" s="25">
        <f>I25+H26</f>
        <v/>
      </c>
      <c r="J26" s="37">
        <f>IF(I26&gt;=0,A26,9999)</f>
        <v/>
      </c>
    </row>
    <row r="27">
      <c r="A27" s="18" t="n">
        <v>14</v>
      </c>
      <c r="B27" s="18">
        <f>$B$3*Hypothèses!$B$5*(1-Hypothèses!$B$6)^(A27-1)</f>
        <v/>
      </c>
      <c r="C27" s="18">
        <f>Hypothèses!$B$9*(1+Hypothèses!$B$10)^(A27-1)</f>
        <v/>
      </c>
      <c r="D27" s="18">
        <f>MIN(B27*$E$4,$E$3)</f>
        <v/>
      </c>
      <c r="E27" s="25">
        <f>D27*C27</f>
        <v/>
      </c>
      <c r="F27" s="25">
        <f>$B$4*Hypothèses!$B$11</f>
        <v/>
      </c>
      <c r="G27" s="25">
        <f>IF(A27=10,$B$4*Hypothèses!$B$19,0)+IF(A27=12,$B$4*Hypothèses!$B$18,0)</f>
        <v/>
      </c>
      <c r="H27" s="25">
        <f>E27-F27-G27</f>
        <v/>
      </c>
      <c r="I27" s="25">
        <f>I26+H27</f>
        <v/>
      </c>
      <c r="J27" s="37">
        <f>IF(I27&gt;=0,A27,9999)</f>
        <v/>
      </c>
    </row>
    <row r="28">
      <c r="A28" s="18" t="n">
        <v>15</v>
      </c>
      <c r="B28" s="18">
        <f>$B$3*Hypothèses!$B$5*(1-Hypothèses!$B$6)^(A28-1)</f>
        <v/>
      </c>
      <c r="C28" s="18">
        <f>Hypothèses!$B$9*(1+Hypothèses!$B$10)^(A28-1)</f>
        <v/>
      </c>
      <c r="D28" s="18">
        <f>MIN(B28*$E$4,$E$3)</f>
        <v/>
      </c>
      <c r="E28" s="25">
        <f>D28*C28</f>
        <v/>
      </c>
      <c r="F28" s="25">
        <f>$B$4*Hypothèses!$B$11</f>
        <v/>
      </c>
      <c r="G28" s="25">
        <f>IF(A28=10,$B$4*Hypothèses!$B$19,0)+IF(A28=12,$B$4*Hypothèses!$B$18,0)</f>
        <v/>
      </c>
      <c r="H28" s="25">
        <f>E28-F28-G28</f>
        <v/>
      </c>
      <c r="I28" s="25">
        <f>I27+H28</f>
        <v/>
      </c>
      <c r="J28" s="37">
        <f>IF(I28&gt;=0,A28,9999)</f>
        <v/>
      </c>
    </row>
    <row r="29">
      <c r="A29" s="18" t="n">
        <v>16</v>
      </c>
      <c r="B29" s="18">
        <f>$B$3*Hypothèses!$B$5*(1-Hypothèses!$B$6)^(A29-1)</f>
        <v/>
      </c>
      <c r="C29" s="18">
        <f>Hypothèses!$B$9*(1+Hypothèses!$B$10)^(A29-1)</f>
        <v/>
      </c>
      <c r="D29" s="18">
        <f>MIN(B29*$E$4,$E$3)</f>
        <v/>
      </c>
      <c r="E29" s="25">
        <f>D29*C29</f>
        <v/>
      </c>
      <c r="F29" s="25">
        <f>$B$4*Hypothèses!$B$11</f>
        <v/>
      </c>
      <c r="G29" s="25">
        <f>IF(A29=10,$B$4*Hypothèses!$B$19,0)+IF(A29=12,$B$4*Hypothèses!$B$18,0)</f>
        <v/>
      </c>
      <c r="H29" s="25">
        <f>E29-F29-G29</f>
        <v/>
      </c>
      <c r="I29" s="25">
        <f>I28+H29</f>
        <v/>
      </c>
      <c r="J29" s="37">
        <f>IF(I29&gt;=0,A29,9999)</f>
        <v/>
      </c>
    </row>
    <row r="30">
      <c r="A30" s="18" t="n">
        <v>17</v>
      </c>
      <c r="B30" s="18">
        <f>$B$3*Hypothèses!$B$5*(1-Hypothèses!$B$6)^(A30-1)</f>
        <v/>
      </c>
      <c r="C30" s="18">
        <f>Hypothèses!$B$9*(1+Hypothèses!$B$10)^(A30-1)</f>
        <v/>
      </c>
      <c r="D30" s="18">
        <f>MIN(B30*$E$4,$E$3)</f>
        <v/>
      </c>
      <c r="E30" s="25">
        <f>D30*C30</f>
        <v/>
      </c>
      <c r="F30" s="25">
        <f>$B$4*Hypothèses!$B$11</f>
        <v/>
      </c>
      <c r="G30" s="25">
        <f>IF(A30=10,$B$4*Hypothèses!$B$19,0)+IF(A30=12,$B$4*Hypothèses!$B$18,0)</f>
        <v/>
      </c>
      <c r="H30" s="25">
        <f>E30-F30-G30</f>
        <v/>
      </c>
      <c r="I30" s="25">
        <f>I29+H30</f>
        <v/>
      </c>
      <c r="J30" s="37">
        <f>IF(I30&gt;=0,A30,9999)</f>
        <v/>
      </c>
    </row>
    <row r="31">
      <c r="A31" s="18" t="n">
        <v>18</v>
      </c>
      <c r="B31" s="18">
        <f>$B$3*Hypothèses!$B$5*(1-Hypothèses!$B$6)^(A31-1)</f>
        <v/>
      </c>
      <c r="C31" s="18">
        <f>Hypothèses!$B$9*(1+Hypothèses!$B$10)^(A31-1)</f>
        <v/>
      </c>
      <c r="D31" s="18">
        <f>MIN(B31*$E$4,$E$3)</f>
        <v/>
      </c>
      <c r="E31" s="25">
        <f>D31*C31</f>
        <v/>
      </c>
      <c r="F31" s="25">
        <f>$B$4*Hypothèses!$B$11</f>
        <v/>
      </c>
      <c r="G31" s="25">
        <f>IF(A31=10,$B$4*Hypothèses!$B$19,0)+IF(A31=12,$B$4*Hypothèses!$B$18,0)</f>
        <v/>
      </c>
      <c r="H31" s="25">
        <f>E31-F31-G31</f>
        <v/>
      </c>
      <c r="I31" s="25">
        <f>I30+H31</f>
        <v/>
      </c>
      <c r="J31" s="37">
        <f>IF(I31&gt;=0,A31,9999)</f>
        <v/>
      </c>
    </row>
    <row r="32">
      <c r="A32" s="18" t="n">
        <v>19</v>
      </c>
      <c r="B32" s="18">
        <f>$B$3*Hypothèses!$B$5*(1-Hypothèses!$B$6)^(A32-1)</f>
        <v/>
      </c>
      <c r="C32" s="18">
        <f>Hypothèses!$B$9*(1+Hypothèses!$B$10)^(A32-1)</f>
        <v/>
      </c>
      <c r="D32" s="18">
        <f>MIN(B32*$E$4,$E$3)</f>
        <v/>
      </c>
      <c r="E32" s="25">
        <f>D32*C32</f>
        <v/>
      </c>
      <c r="F32" s="25">
        <f>$B$4*Hypothèses!$B$11</f>
        <v/>
      </c>
      <c r="G32" s="25">
        <f>IF(A32=10,$B$4*Hypothèses!$B$19,0)+IF(A32=12,$B$4*Hypothèses!$B$18,0)</f>
        <v/>
      </c>
      <c r="H32" s="25">
        <f>E32-F32-G32</f>
        <v/>
      </c>
      <c r="I32" s="25">
        <f>I31+H32</f>
        <v/>
      </c>
      <c r="J32" s="37">
        <f>IF(I32&gt;=0,A32,9999)</f>
        <v/>
      </c>
    </row>
    <row r="33">
      <c r="A33" s="18" t="n">
        <v>20</v>
      </c>
      <c r="B33" s="18">
        <f>$B$3*Hypothèses!$B$5*(1-Hypothèses!$B$6)^(A33-1)</f>
        <v/>
      </c>
      <c r="C33" s="18">
        <f>Hypothèses!$B$9*(1+Hypothèses!$B$10)^(A33-1)</f>
        <v/>
      </c>
      <c r="D33" s="18">
        <f>MIN(B33*$E$4,$E$3)</f>
        <v/>
      </c>
      <c r="E33" s="25">
        <f>D33*C33</f>
        <v/>
      </c>
      <c r="F33" s="25">
        <f>$B$4*Hypothèses!$B$11</f>
        <v/>
      </c>
      <c r="G33" s="25">
        <f>IF(A33=10,$B$4*Hypothèses!$B$19,0)+IF(A33=12,$B$4*Hypothèses!$B$18,0)</f>
        <v/>
      </c>
      <c r="H33" s="25">
        <f>E33-F33-G33</f>
        <v/>
      </c>
      <c r="I33" s="25">
        <f>I32+H33</f>
        <v/>
      </c>
      <c r="J33" s="37">
        <f>IF(I33&gt;=0,A33,9999)</f>
        <v/>
      </c>
    </row>
    <row r="34">
      <c r="A34" s="18" t="n">
        <v>21</v>
      </c>
      <c r="B34" s="18">
        <f>$B$3*Hypothèses!$B$5*(1-Hypothèses!$B$6)^(A34-1)</f>
        <v/>
      </c>
      <c r="C34" s="18">
        <f>Hypothèses!$B$9*(1+Hypothèses!$B$10)^(A34-1)</f>
        <v/>
      </c>
      <c r="D34" s="18">
        <f>MIN(B34*$E$4,$E$3)</f>
        <v/>
      </c>
      <c r="E34" s="25">
        <f>D34*C34</f>
        <v/>
      </c>
      <c r="F34" s="25">
        <f>$B$4*Hypothèses!$B$11</f>
        <v/>
      </c>
      <c r="G34" s="25">
        <f>IF(A34=10,$B$4*Hypothèses!$B$19,0)+IF(A34=12,$B$4*Hypothèses!$B$18,0)</f>
        <v/>
      </c>
      <c r="H34" s="25">
        <f>E34-F34-G34</f>
        <v/>
      </c>
      <c r="I34" s="25">
        <f>I33+H34</f>
        <v/>
      </c>
      <c r="J34" s="37">
        <f>IF(I34&gt;=0,A34,9999)</f>
        <v/>
      </c>
    </row>
    <row r="35">
      <c r="A35" s="18" t="n">
        <v>22</v>
      </c>
      <c r="B35" s="18">
        <f>$B$3*Hypothèses!$B$5*(1-Hypothèses!$B$6)^(A35-1)</f>
        <v/>
      </c>
      <c r="C35" s="18">
        <f>Hypothèses!$B$9*(1+Hypothèses!$B$10)^(A35-1)</f>
        <v/>
      </c>
      <c r="D35" s="18">
        <f>MIN(B35*$E$4,$E$3)</f>
        <v/>
      </c>
      <c r="E35" s="25">
        <f>D35*C35</f>
        <v/>
      </c>
      <c r="F35" s="25">
        <f>$B$4*Hypothèses!$B$11</f>
        <v/>
      </c>
      <c r="G35" s="25">
        <f>IF(A35=10,$B$4*Hypothèses!$B$19,0)+IF(A35=12,$B$4*Hypothèses!$B$18,0)</f>
        <v/>
      </c>
      <c r="H35" s="25">
        <f>E35-F35-G35</f>
        <v/>
      </c>
      <c r="I35" s="25">
        <f>I34+H35</f>
        <v/>
      </c>
      <c r="J35" s="37">
        <f>IF(I35&gt;=0,A35,9999)</f>
        <v/>
      </c>
    </row>
    <row r="36">
      <c r="A36" s="18" t="n">
        <v>23</v>
      </c>
      <c r="B36" s="18">
        <f>$B$3*Hypothèses!$B$5*(1-Hypothèses!$B$6)^(A36-1)</f>
        <v/>
      </c>
      <c r="C36" s="18">
        <f>Hypothèses!$B$9*(1+Hypothèses!$B$10)^(A36-1)</f>
        <v/>
      </c>
      <c r="D36" s="18">
        <f>MIN(B36*$E$4,$E$3)</f>
        <v/>
      </c>
      <c r="E36" s="25">
        <f>D36*C36</f>
        <v/>
      </c>
      <c r="F36" s="25">
        <f>$B$4*Hypothèses!$B$11</f>
        <v/>
      </c>
      <c r="G36" s="25">
        <f>IF(A36=10,$B$4*Hypothèses!$B$19,0)+IF(A36=12,$B$4*Hypothèses!$B$18,0)</f>
        <v/>
      </c>
      <c r="H36" s="25">
        <f>E36-F36-G36</f>
        <v/>
      </c>
      <c r="I36" s="25">
        <f>I35+H36</f>
        <v/>
      </c>
      <c r="J36" s="37">
        <f>IF(I36&gt;=0,A36,9999)</f>
        <v/>
      </c>
    </row>
    <row r="37">
      <c r="A37" s="18" t="n">
        <v>24</v>
      </c>
      <c r="B37" s="18">
        <f>$B$3*Hypothèses!$B$5*(1-Hypothèses!$B$6)^(A37-1)</f>
        <v/>
      </c>
      <c r="C37" s="18">
        <f>Hypothèses!$B$9*(1+Hypothèses!$B$10)^(A37-1)</f>
        <v/>
      </c>
      <c r="D37" s="18">
        <f>MIN(B37*$E$4,$E$3)</f>
        <v/>
      </c>
      <c r="E37" s="25">
        <f>D37*C37</f>
        <v/>
      </c>
      <c r="F37" s="25">
        <f>$B$4*Hypothèses!$B$11</f>
        <v/>
      </c>
      <c r="G37" s="25">
        <f>IF(A37=10,$B$4*Hypothèses!$B$19,0)+IF(A37=12,$B$4*Hypothèses!$B$18,0)</f>
        <v/>
      </c>
      <c r="H37" s="25">
        <f>E37-F37-G37</f>
        <v/>
      </c>
      <c r="I37" s="25">
        <f>I36+H37</f>
        <v/>
      </c>
      <c r="J37" s="37">
        <f>IF(I37&gt;=0,A37,9999)</f>
        <v/>
      </c>
    </row>
    <row r="38">
      <c r="A38" s="18" t="n">
        <v>25</v>
      </c>
      <c r="B38" s="18">
        <f>$B$3*Hypothèses!$B$5*(1-Hypothèses!$B$6)^(A38-1)</f>
        <v/>
      </c>
      <c r="C38" s="18">
        <f>Hypothèses!$B$9*(1+Hypothèses!$B$10)^(A38-1)</f>
        <v/>
      </c>
      <c r="D38" s="18">
        <f>MIN(B38*$E$4,$E$3)</f>
        <v/>
      </c>
      <c r="E38" s="25">
        <f>D38*C38</f>
        <v/>
      </c>
      <c r="F38" s="25">
        <f>$B$4*Hypothèses!$B$11</f>
        <v/>
      </c>
      <c r="G38" s="25">
        <f>IF(A38=10,$B$4*Hypothèses!$B$19,0)+IF(A38=12,$B$4*Hypothèses!$B$18,0)</f>
        <v/>
      </c>
      <c r="H38" s="25">
        <f>E38-F38-G38</f>
        <v/>
      </c>
      <c r="I38" s="25">
        <f>I37+H38</f>
        <v/>
      </c>
      <c r="J38" s="37">
        <f>IF(I38&gt;=0,A38,9999)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hidden="1" width="13" customWidth="1" min="10" max="10"/>
  </cols>
  <sheetData>
    <row r="1">
      <c r="A1" s="1" t="inlineStr">
        <is>
          <t>Cash-flow 25 ans — B2 · Hybride (avec batterie)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29" t="inlineStr">
        <is>
          <t>Puissance</t>
        </is>
      </c>
      <c r="B3" s="30">
        <f>'Cas client'!$B$13</f>
        <v/>
      </c>
      <c r="D3" s="29" t="inlineStr">
        <is>
          <t>Conso annuelle</t>
        </is>
      </c>
      <c r="E3" s="31">
        <f>'Cas client'!$B$11</f>
        <v/>
      </c>
      <c r="G3" s="29" t="inlineStr">
        <is>
          <t>VAN (25 ans)</t>
        </is>
      </c>
      <c r="H3" s="32">
        <f>NPV(Hypothèses!$B$13,H14:H38)+H13</f>
        <v/>
      </c>
    </row>
    <row r="4">
      <c r="A4" s="29" t="inlineStr">
        <is>
          <t>CAPEX</t>
        </is>
      </c>
      <c r="B4" s="33">
        <f>B3*Hypothèses!$C$16</f>
        <v/>
      </c>
      <c r="D4" s="29" t="inlineStr">
        <is>
          <t>Taux autoconso.</t>
        </is>
      </c>
      <c r="E4" s="34">
        <f>Hypothèses!$C$17</f>
        <v/>
      </c>
      <c r="G4" s="29" t="inlineStr">
        <is>
          <t>Année de rentabilité</t>
        </is>
      </c>
      <c r="H4" s="35">
        <f>IF(MIN(J13:J38)&gt;Hypothèses!$B$12,"&gt;25 ans",MIN(J13:J38))</f>
        <v/>
      </c>
    </row>
    <row r="12">
      <c r="A12" s="36" t="inlineStr">
        <is>
          <t>Année</t>
        </is>
      </c>
      <c r="B12" s="36" t="inlineStr">
        <is>
          <t>Production (kWh)</t>
        </is>
      </c>
      <c r="C12" s="36" t="inlineStr">
        <is>
          <t>Tarif (FCFA/kWh)</t>
        </is>
      </c>
      <c r="D12" s="36" t="inlineStr">
        <is>
          <t>Autoconso. (kWh)</t>
        </is>
      </c>
      <c r="E12" s="36" t="inlineStr">
        <is>
          <t>Économie brute</t>
        </is>
      </c>
      <c r="F12" s="36" t="inlineStr">
        <is>
          <t>O&amp;M</t>
        </is>
      </c>
      <c r="G12" s="36" t="inlineStr">
        <is>
          <t>Remplacements</t>
        </is>
      </c>
      <c r="H12" s="36" t="inlineStr">
        <is>
          <t>Flux net</t>
        </is>
      </c>
      <c r="I12" s="36" t="inlineStr">
        <is>
          <t>Flux cumulé</t>
        </is>
      </c>
    </row>
    <row r="13">
      <c r="A13" s="18" t="n">
        <v>0</v>
      </c>
      <c r="B13" s="15" t="n">
        <v>0</v>
      </c>
      <c r="C13" s="25" t="n">
        <v>0</v>
      </c>
      <c r="D13" s="15" t="n">
        <v>0</v>
      </c>
      <c r="E13" s="25" t="n">
        <v>0</v>
      </c>
      <c r="F13" s="25" t="n">
        <v>0</v>
      </c>
      <c r="G13" s="25" t="n">
        <v>0</v>
      </c>
      <c r="H13" s="25">
        <f>-$B$4</f>
        <v/>
      </c>
      <c r="I13" s="25">
        <f>H13</f>
        <v/>
      </c>
      <c r="J13" s="37">
        <f>IF(I13&gt;=0,A13,9999)</f>
        <v/>
      </c>
    </row>
    <row r="14">
      <c r="A14" s="18" t="n">
        <v>1</v>
      </c>
      <c r="B14" s="18">
        <f>$B$3*Hypothèses!$B$5*(1-Hypothèses!$B$6)^(A14-1)</f>
        <v/>
      </c>
      <c r="C14" s="18">
        <f>Hypothèses!$B$9*(1+Hypothèses!$B$10)^(A14-1)</f>
        <v/>
      </c>
      <c r="D14" s="18">
        <f>MIN(B14*$E$4,$E$3)</f>
        <v/>
      </c>
      <c r="E14" s="25">
        <f>D14*C14</f>
        <v/>
      </c>
      <c r="F14" s="25">
        <f>$B$4*Hypothèses!$B$11</f>
        <v/>
      </c>
      <c r="G14" s="25">
        <f>IF(A14=10,$B$4*Hypothèses!$C$19,0)+IF(A14=12,$B$4*Hypothèses!$C$18,0)</f>
        <v/>
      </c>
      <c r="H14" s="25">
        <f>E14-F14-G14</f>
        <v/>
      </c>
      <c r="I14" s="25">
        <f>I13+H14</f>
        <v/>
      </c>
      <c r="J14" s="37">
        <f>IF(I14&gt;=0,A14,9999)</f>
        <v/>
      </c>
    </row>
    <row r="15">
      <c r="A15" s="18" t="n">
        <v>2</v>
      </c>
      <c r="B15" s="18">
        <f>$B$3*Hypothèses!$B$5*(1-Hypothèses!$B$6)^(A15-1)</f>
        <v/>
      </c>
      <c r="C15" s="18">
        <f>Hypothèses!$B$9*(1+Hypothèses!$B$10)^(A15-1)</f>
        <v/>
      </c>
      <c r="D15" s="18">
        <f>MIN(B15*$E$4,$E$3)</f>
        <v/>
      </c>
      <c r="E15" s="25">
        <f>D15*C15</f>
        <v/>
      </c>
      <c r="F15" s="25">
        <f>$B$4*Hypothèses!$B$11</f>
        <v/>
      </c>
      <c r="G15" s="25">
        <f>IF(A15=10,$B$4*Hypothèses!$C$19,0)+IF(A15=12,$B$4*Hypothèses!$C$18,0)</f>
        <v/>
      </c>
      <c r="H15" s="25">
        <f>E15-F15-G15</f>
        <v/>
      </c>
      <c r="I15" s="25">
        <f>I14+H15</f>
        <v/>
      </c>
      <c r="J15" s="37">
        <f>IF(I15&gt;=0,A15,9999)</f>
        <v/>
      </c>
    </row>
    <row r="16">
      <c r="A16" s="18" t="n">
        <v>3</v>
      </c>
      <c r="B16" s="18">
        <f>$B$3*Hypothèses!$B$5*(1-Hypothèses!$B$6)^(A16-1)</f>
        <v/>
      </c>
      <c r="C16" s="18">
        <f>Hypothèses!$B$9*(1+Hypothèses!$B$10)^(A16-1)</f>
        <v/>
      </c>
      <c r="D16" s="18">
        <f>MIN(B16*$E$4,$E$3)</f>
        <v/>
      </c>
      <c r="E16" s="25">
        <f>D16*C16</f>
        <v/>
      </c>
      <c r="F16" s="25">
        <f>$B$4*Hypothèses!$B$11</f>
        <v/>
      </c>
      <c r="G16" s="25">
        <f>IF(A16=10,$B$4*Hypothèses!$C$19,0)+IF(A16=12,$B$4*Hypothèses!$C$18,0)</f>
        <v/>
      </c>
      <c r="H16" s="25">
        <f>E16-F16-G16</f>
        <v/>
      </c>
      <c r="I16" s="25">
        <f>I15+H16</f>
        <v/>
      </c>
      <c r="J16" s="37">
        <f>IF(I16&gt;=0,A16,9999)</f>
        <v/>
      </c>
    </row>
    <row r="17">
      <c r="A17" s="18" t="n">
        <v>4</v>
      </c>
      <c r="B17" s="18">
        <f>$B$3*Hypothèses!$B$5*(1-Hypothèses!$B$6)^(A17-1)</f>
        <v/>
      </c>
      <c r="C17" s="18">
        <f>Hypothèses!$B$9*(1+Hypothèses!$B$10)^(A17-1)</f>
        <v/>
      </c>
      <c r="D17" s="18">
        <f>MIN(B17*$E$4,$E$3)</f>
        <v/>
      </c>
      <c r="E17" s="25">
        <f>D17*C17</f>
        <v/>
      </c>
      <c r="F17" s="25">
        <f>$B$4*Hypothèses!$B$11</f>
        <v/>
      </c>
      <c r="G17" s="25">
        <f>IF(A17=10,$B$4*Hypothèses!$C$19,0)+IF(A17=12,$B$4*Hypothèses!$C$18,0)</f>
        <v/>
      </c>
      <c r="H17" s="25">
        <f>E17-F17-G17</f>
        <v/>
      </c>
      <c r="I17" s="25">
        <f>I16+H17</f>
        <v/>
      </c>
      <c r="J17" s="37">
        <f>IF(I17&gt;=0,A17,9999)</f>
        <v/>
      </c>
    </row>
    <row r="18">
      <c r="A18" s="18" t="n">
        <v>5</v>
      </c>
      <c r="B18" s="18">
        <f>$B$3*Hypothèses!$B$5*(1-Hypothèses!$B$6)^(A18-1)</f>
        <v/>
      </c>
      <c r="C18" s="18">
        <f>Hypothèses!$B$9*(1+Hypothèses!$B$10)^(A18-1)</f>
        <v/>
      </c>
      <c r="D18" s="18">
        <f>MIN(B18*$E$4,$E$3)</f>
        <v/>
      </c>
      <c r="E18" s="25">
        <f>D18*C18</f>
        <v/>
      </c>
      <c r="F18" s="25">
        <f>$B$4*Hypothèses!$B$11</f>
        <v/>
      </c>
      <c r="G18" s="25">
        <f>IF(A18=10,$B$4*Hypothèses!$C$19,0)+IF(A18=12,$B$4*Hypothèses!$C$18,0)</f>
        <v/>
      </c>
      <c r="H18" s="25">
        <f>E18-F18-G18</f>
        <v/>
      </c>
      <c r="I18" s="25">
        <f>I17+H18</f>
        <v/>
      </c>
      <c r="J18" s="37">
        <f>IF(I18&gt;=0,A18,9999)</f>
        <v/>
      </c>
    </row>
    <row r="19">
      <c r="A19" s="18" t="n">
        <v>6</v>
      </c>
      <c r="B19" s="18">
        <f>$B$3*Hypothèses!$B$5*(1-Hypothèses!$B$6)^(A19-1)</f>
        <v/>
      </c>
      <c r="C19" s="18">
        <f>Hypothèses!$B$9*(1+Hypothèses!$B$10)^(A19-1)</f>
        <v/>
      </c>
      <c r="D19" s="18">
        <f>MIN(B19*$E$4,$E$3)</f>
        <v/>
      </c>
      <c r="E19" s="25">
        <f>D19*C19</f>
        <v/>
      </c>
      <c r="F19" s="25">
        <f>$B$4*Hypothèses!$B$11</f>
        <v/>
      </c>
      <c r="G19" s="25">
        <f>IF(A19=10,$B$4*Hypothèses!$C$19,0)+IF(A19=12,$B$4*Hypothèses!$C$18,0)</f>
        <v/>
      </c>
      <c r="H19" s="25">
        <f>E19-F19-G19</f>
        <v/>
      </c>
      <c r="I19" s="25">
        <f>I18+H19</f>
        <v/>
      </c>
      <c r="J19" s="37">
        <f>IF(I19&gt;=0,A19,9999)</f>
        <v/>
      </c>
    </row>
    <row r="20">
      <c r="A20" s="18" t="n">
        <v>7</v>
      </c>
      <c r="B20" s="18">
        <f>$B$3*Hypothèses!$B$5*(1-Hypothèses!$B$6)^(A20-1)</f>
        <v/>
      </c>
      <c r="C20" s="18">
        <f>Hypothèses!$B$9*(1+Hypothèses!$B$10)^(A20-1)</f>
        <v/>
      </c>
      <c r="D20" s="18">
        <f>MIN(B20*$E$4,$E$3)</f>
        <v/>
      </c>
      <c r="E20" s="25">
        <f>D20*C20</f>
        <v/>
      </c>
      <c r="F20" s="25">
        <f>$B$4*Hypothèses!$B$11</f>
        <v/>
      </c>
      <c r="G20" s="25">
        <f>IF(A20=10,$B$4*Hypothèses!$C$19,0)+IF(A20=12,$B$4*Hypothèses!$C$18,0)</f>
        <v/>
      </c>
      <c r="H20" s="25">
        <f>E20-F20-G20</f>
        <v/>
      </c>
      <c r="I20" s="25">
        <f>I19+H20</f>
        <v/>
      </c>
      <c r="J20" s="37">
        <f>IF(I20&gt;=0,A20,9999)</f>
        <v/>
      </c>
    </row>
    <row r="21">
      <c r="A21" s="18" t="n">
        <v>8</v>
      </c>
      <c r="B21" s="18">
        <f>$B$3*Hypothèses!$B$5*(1-Hypothèses!$B$6)^(A21-1)</f>
        <v/>
      </c>
      <c r="C21" s="18">
        <f>Hypothèses!$B$9*(1+Hypothèses!$B$10)^(A21-1)</f>
        <v/>
      </c>
      <c r="D21" s="18">
        <f>MIN(B21*$E$4,$E$3)</f>
        <v/>
      </c>
      <c r="E21" s="25">
        <f>D21*C21</f>
        <v/>
      </c>
      <c r="F21" s="25">
        <f>$B$4*Hypothèses!$B$11</f>
        <v/>
      </c>
      <c r="G21" s="25">
        <f>IF(A21=10,$B$4*Hypothèses!$C$19,0)+IF(A21=12,$B$4*Hypothèses!$C$18,0)</f>
        <v/>
      </c>
      <c r="H21" s="25">
        <f>E21-F21-G21</f>
        <v/>
      </c>
      <c r="I21" s="25">
        <f>I20+H21</f>
        <v/>
      </c>
      <c r="J21" s="37">
        <f>IF(I21&gt;=0,A21,9999)</f>
        <v/>
      </c>
    </row>
    <row r="22">
      <c r="A22" s="18" t="n">
        <v>9</v>
      </c>
      <c r="B22" s="18">
        <f>$B$3*Hypothèses!$B$5*(1-Hypothèses!$B$6)^(A22-1)</f>
        <v/>
      </c>
      <c r="C22" s="18">
        <f>Hypothèses!$B$9*(1+Hypothèses!$B$10)^(A22-1)</f>
        <v/>
      </c>
      <c r="D22" s="18">
        <f>MIN(B22*$E$4,$E$3)</f>
        <v/>
      </c>
      <c r="E22" s="25">
        <f>D22*C22</f>
        <v/>
      </c>
      <c r="F22" s="25">
        <f>$B$4*Hypothèses!$B$11</f>
        <v/>
      </c>
      <c r="G22" s="25">
        <f>IF(A22=10,$B$4*Hypothèses!$C$19,0)+IF(A22=12,$B$4*Hypothèses!$C$18,0)</f>
        <v/>
      </c>
      <c r="H22" s="25">
        <f>E22-F22-G22</f>
        <v/>
      </c>
      <c r="I22" s="25">
        <f>I21+H22</f>
        <v/>
      </c>
      <c r="J22" s="37">
        <f>IF(I22&gt;=0,A22,9999)</f>
        <v/>
      </c>
    </row>
    <row r="23">
      <c r="A23" s="18" t="n">
        <v>10</v>
      </c>
      <c r="B23" s="18">
        <f>$B$3*Hypothèses!$B$5*(1-Hypothèses!$B$6)^(A23-1)</f>
        <v/>
      </c>
      <c r="C23" s="18">
        <f>Hypothèses!$B$9*(1+Hypothèses!$B$10)^(A23-1)</f>
        <v/>
      </c>
      <c r="D23" s="18">
        <f>MIN(B23*$E$4,$E$3)</f>
        <v/>
      </c>
      <c r="E23" s="25">
        <f>D23*C23</f>
        <v/>
      </c>
      <c r="F23" s="25">
        <f>$B$4*Hypothèses!$B$11</f>
        <v/>
      </c>
      <c r="G23" s="25">
        <f>IF(A23=10,$B$4*Hypothèses!$C$19,0)+IF(A23=12,$B$4*Hypothèses!$C$18,0)</f>
        <v/>
      </c>
      <c r="H23" s="25">
        <f>E23-F23-G23</f>
        <v/>
      </c>
      <c r="I23" s="25">
        <f>I22+H23</f>
        <v/>
      </c>
      <c r="J23" s="37">
        <f>IF(I23&gt;=0,A23,9999)</f>
        <v/>
      </c>
    </row>
    <row r="24">
      <c r="A24" s="18" t="n">
        <v>11</v>
      </c>
      <c r="B24" s="18">
        <f>$B$3*Hypothèses!$B$5*(1-Hypothèses!$B$6)^(A24-1)</f>
        <v/>
      </c>
      <c r="C24" s="18">
        <f>Hypothèses!$B$9*(1+Hypothèses!$B$10)^(A24-1)</f>
        <v/>
      </c>
      <c r="D24" s="18">
        <f>MIN(B24*$E$4,$E$3)</f>
        <v/>
      </c>
      <c r="E24" s="25">
        <f>D24*C24</f>
        <v/>
      </c>
      <c r="F24" s="25">
        <f>$B$4*Hypothèses!$B$11</f>
        <v/>
      </c>
      <c r="G24" s="25">
        <f>IF(A24=10,$B$4*Hypothèses!$C$19,0)+IF(A24=12,$B$4*Hypothèses!$C$18,0)</f>
        <v/>
      </c>
      <c r="H24" s="25">
        <f>E24-F24-G24</f>
        <v/>
      </c>
      <c r="I24" s="25">
        <f>I23+H24</f>
        <v/>
      </c>
      <c r="J24" s="37">
        <f>IF(I24&gt;=0,A24,9999)</f>
        <v/>
      </c>
    </row>
    <row r="25">
      <c r="A25" s="18" t="n">
        <v>12</v>
      </c>
      <c r="B25" s="18">
        <f>$B$3*Hypothèses!$B$5*(1-Hypothèses!$B$6)^(A25-1)</f>
        <v/>
      </c>
      <c r="C25" s="18">
        <f>Hypothèses!$B$9*(1+Hypothèses!$B$10)^(A25-1)</f>
        <v/>
      </c>
      <c r="D25" s="18">
        <f>MIN(B25*$E$4,$E$3)</f>
        <v/>
      </c>
      <c r="E25" s="25">
        <f>D25*C25</f>
        <v/>
      </c>
      <c r="F25" s="25">
        <f>$B$4*Hypothèses!$B$11</f>
        <v/>
      </c>
      <c r="G25" s="25">
        <f>IF(A25=10,$B$4*Hypothèses!$C$19,0)+IF(A25=12,$B$4*Hypothèses!$C$18,0)</f>
        <v/>
      </c>
      <c r="H25" s="25">
        <f>E25-F25-G25</f>
        <v/>
      </c>
      <c r="I25" s="25">
        <f>I24+H25</f>
        <v/>
      </c>
      <c r="J25" s="37">
        <f>IF(I25&gt;=0,A25,9999)</f>
        <v/>
      </c>
    </row>
    <row r="26">
      <c r="A26" s="18" t="n">
        <v>13</v>
      </c>
      <c r="B26" s="18">
        <f>$B$3*Hypothèses!$B$5*(1-Hypothèses!$B$6)^(A26-1)</f>
        <v/>
      </c>
      <c r="C26" s="18">
        <f>Hypothèses!$B$9*(1+Hypothèses!$B$10)^(A26-1)</f>
        <v/>
      </c>
      <c r="D26" s="18">
        <f>MIN(B26*$E$4,$E$3)</f>
        <v/>
      </c>
      <c r="E26" s="25">
        <f>D26*C26</f>
        <v/>
      </c>
      <c r="F26" s="25">
        <f>$B$4*Hypothèses!$B$11</f>
        <v/>
      </c>
      <c r="G26" s="25">
        <f>IF(A26=10,$B$4*Hypothèses!$C$19,0)+IF(A26=12,$B$4*Hypothèses!$C$18,0)</f>
        <v/>
      </c>
      <c r="H26" s="25">
        <f>E26-F26-G26</f>
        <v/>
      </c>
      <c r="I26" s="25">
        <f>I25+H26</f>
        <v/>
      </c>
      <c r="J26" s="37">
        <f>IF(I26&gt;=0,A26,9999)</f>
        <v/>
      </c>
    </row>
    <row r="27">
      <c r="A27" s="18" t="n">
        <v>14</v>
      </c>
      <c r="B27" s="18">
        <f>$B$3*Hypothèses!$B$5*(1-Hypothèses!$B$6)^(A27-1)</f>
        <v/>
      </c>
      <c r="C27" s="18">
        <f>Hypothèses!$B$9*(1+Hypothèses!$B$10)^(A27-1)</f>
        <v/>
      </c>
      <c r="D27" s="18">
        <f>MIN(B27*$E$4,$E$3)</f>
        <v/>
      </c>
      <c r="E27" s="25">
        <f>D27*C27</f>
        <v/>
      </c>
      <c r="F27" s="25">
        <f>$B$4*Hypothèses!$B$11</f>
        <v/>
      </c>
      <c r="G27" s="25">
        <f>IF(A27=10,$B$4*Hypothèses!$C$19,0)+IF(A27=12,$B$4*Hypothèses!$C$18,0)</f>
        <v/>
      </c>
      <c r="H27" s="25">
        <f>E27-F27-G27</f>
        <v/>
      </c>
      <c r="I27" s="25">
        <f>I26+H27</f>
        <v/>
      </c>
      <c r="J27" s="37">
        <f>IF(I27&gt;=0,A27,9999)</f>
        <v/>
      </c>
    </row>
    <row r="28">
      <c r="A28" s="18" t="n">
        <v>15</v>
      </c>
      <c r="B28" s="18">
        <f>$B$3*Hypothèses!$B$5*(1-Hypothèses!$B$6)^(A28-1)</f>
        <v/>
      </c>
      <c r="C28" s="18">
        <f>Hypothèses!$B$9*(1+Hypothèses!$B$10)^(A28-1)</f>
        <v/>
      </c>
      <c r="D28" s="18">
        <f>MIN(B28*$E$4,$E$3)</f>
        <v/>
      </c>
      <c r="E28" s="25">
        <f>D28*C28</f>
        <v/>
      </c>
      <c r="F28" s="25">
        <f>$B$4*Hypothèses!$B$11</f>
        <v/>
      </c>
      <c r="G28" s="25">
        <f>IF(A28=10,$B$4*Hypothèses!$C$19,0)+IF(A28=12,$B$4*Hypothèses!$C$18,0)</f>
        <v/>
      </c>
      <c r="H28" s="25">
        <f>E28-F28-G28</f>
        <v/>
      </c>
      <c r="I28" s="25">
        <f>I27+H28</f>
        <v/>
      </c>
      <c r="J28" s="37">
        <f>IF(I28&gt;=0,A28,9999)</f>
        <v/>
      </c>
    </row>
    <row r="29">
      <c r="A29" s="18" t="n">
        <v>16</v>
      </c>
      <c r="B29" s="18">
        <f>$B$3*Hypothèses!$B$5*(1-Hypothèses!$B$6)^(A29-1)</f>
        <v/>
      </c>
      <c r="C29" s="18">
        <f>Hypothèses!$B$9*(1+Hypothèses!$B$10)^(A29-1)</f>
        <v/>
      </c>
      <c r="D29" s="18">
        <f>MIN(B29*$E$4,$E$3)</f>
        <v/>
      </c>
      <c r="E29" s="25">
        <f>D29*C29</f>
        <v/>
      </c>
      <c r="F29" s="25">
        <f>$B$4*Hypothèses!$B$11</f>
        <v/>
      </c>
      <c r="G29" s="25">
        <f>IF(A29=10,$B$4*Hypothèses!$C$19,0)+IF(A29=12,$B$4*Hypothèses!$C$18,0)</f>
        <v/>
      </c>
      <c r="H29" s="25">
        <f>E29-F29-G29</f>
        <v/>
      </c>
      <c r="I29" s="25">
        <f>I28+H29</f>
        <v/>
      </c>
      <c r="J29" s="37">
        <f>IF(I29&gt;=0,A29,9999)</f>
        <v/>
      </c>
    </row>
    <row r="30">
      <c r="A30" s="18" t="n">
        <v>17</v>
      </c>
      <c r="B30" s="18">
        <f>$B$3*Hypothèses!$B$5*(1-Hypothèses!$B$6)^(A30-1)</f>
        <v/>
      </c>
      <c r="C30" s="18">
        <f>Hypothèses!$B$9*(1+Hypothèses!$B$10)^(A30-1)</f>
        <v/>
      </c>
      <c r="D30" s="18">
        <f>MIN(B30*$E$4,$E$3)</f>
        <v/>
      </c>
      <c r="E30" s="25">
        <f>D30*C30</f>
        <v/>
      </c>
      <c r="F30" s="25">
        <f>$B$4*Hypothèses!$B$11</f>
        <v/>
      </c>
      <c r="G30" s="25">
        <f>IF(A30=10,$B$4*Hypothèses!$C$19,0)+IF(A30=12,$B$4*Hypothèses!$C$18,0)</f>
        <v/>
      </c>
      <c r="H30" s="25">
        <f>E30-F30-G30</f>
        <v/>
      </c>
      <c r="I30" s="25">
        <f>I29+H30</f>
        <v/>
      </c>
      <c r="J30" s="37">
        <f>IF(I30&gt;=0,A30,9999)</f>
        <v/>
      </c>
    </row>
    <row r="31">
      <c r="A31" s="18" t="n">
        <v>18</v>
      </c>
      <c r="B31" s="18">
        <f>$B$3*Hypothèses!$B$5*(1-Hypothèses!$B$6)^(A31-1)</f>
        <v/>
      </c>
      <c r="C31" s="18">
        <f>Hypothèses!$B$9*(1+Hypothèses!$B$10)^(A31-1)</f>
        <v/>
      </c>
      <c r="D31" s="18">
        <f>MIN(B31*$E$4,$E$3)</f>
        <v/>
      </c>
      <c r="E31" s="25">
        <f>D31*C31</f>
        <v/>
      </c>
      <c r="F31" s="25">
        <f>$B$4*Hypothèses!$B$11</f>
        <v/>
      </c>
      <c r="G31" s="25">
        <f>IF(A31=10,$B$4*Hypothèses!$C$19,0)+IF(A31=12,$B$4*Hypothèses!$C$18,0)</f>
        <v/>
      </c>
      <c r="H31" s="25">
        <f>E31-F31-G31</f>
        <v/>
      </c>
      <c r="I31" s="25">
        <f>I30+H31</f>
        <v/>
      </c>
      <c r="J31" s="37">
        <f>IF(I31&gt;=0,A31,9999)</f>
        <v/>
      </c>
    </row>
    <row r="32">
      <c r="A32" s="18" t="n">
        <v>19</v>
      </c>
      <c r="B32" s="18">
        <f>$B$3*Hypothèses!$B$5*(1-Hypothèses!$B$6)^(A32-1)</f>
        <v/>
      </c>
      <c r="C32" s="18">
        <f>Hypothèses!$B$9*(1+Hypothèses!$B$10)^(A32-1)</f>
        <v/>
      </c>
      <c r="D32" s="18">
        <f>MIN(B32*$E$4,$E$3)</f>
        <v/>
      </c>
      <c r="E32" s="25">
        <f>D32*C32</f>
        <v/>
      </c>
      <c r="F32" s="25">
        <f>$B$4*Hypothèses!$B$11</f>
        <v/>
      </c>
      <c r="G32" s="25">
        <f>IF(A32=10,$B$4*Hypothèses!$C$19,0)+IF(A32=12,$B$4*Hypothèses!$C$18,0)</f>
        <v/>
      </c>
      <c r="H32" s="25">
        <f>E32-F32-G32</f>
        <v/>
      </c>
      <c r="I32" s="25">
        <f>I31+H32</f>
        <v/>
      </c>
      <c r="J32" s="37">
        <f>IF(I32&gt;=0,A32,9999)</f>
        <v/>
      </c>
    </row>
    <row r="33">
      <c r="A33" s="18" t="n">
        <v>20</v>
      </c>
      <c r="B33" s="18">
        <f>$B$3*Hypothèses!$B$5*(1-Hypothèses!$B$6)^(A33-1)</f>
        <v/>
      </c>
      <c r="C33" s="18">
        <f>Hypothèses!$B$9*(1+Hypothèses!$B$10)^(A33-1)</f>
        <v/>
      </c>
      <c r="D33" s="18">
        <f>MIN(B33*$E$4,$E$3)</f>
        <v/>
      </c>
      <c r="E33" s="25">
        <f>D33*C33</f>
        <v/>
      </c>
      <c r="F33" s="25">
        <f>$B$4*Hypothèses!$B$11</f>
        <v/>
      </c>
      <c r="G33" s="25">
        <f>IF(A33=10,$B$4*Hypothèses!$C$19,0)+IF(A33=12,$B$4*Hypothèses!$C$18,0)</f>
        <v/>
      </c>
      <c r="H33" s="25">
        <f>E33-F33-G33</f>
        <v/>
      </c>
      <c r="I33" s="25">
        <f>I32+H33</f>
        <v/>
      </c>
      <c r="J33" s="37">
        <f>IF(I33&gt;=0,A33,9999)</f>
        <v/>
      </c>
    </row>
    <row r="34">
      <c r="A34" s="18" t="n">
        <v>21</v>
      </c>
      <c r="B34" s="18">
        <f>$B$3*Hypothèses!$B$5*(1-Hypothèses!$B$6)^(A34-1)</f>
        <v/>
      </c>
      <c r="C34" s="18">
        <f>Hypothèses!$B$9*(1+Hypothèses!$B$10)^(A34-1)</f>
        <v/>
      </c>
      <c r="D34" s="18">
        <f>MIN(B34*$E$4,$E$3)</f>
        <v/>
      </c>
      <c r="E34" s="25">
        <f>D34*C34</f>
        <v/>
      </c>
      <c r="F34" s="25">
        <f>$B$4*Hypothèses!$B$11</f>
        <v/>
      </c>
      <c r="G34" s="25">
        <f>IF(A34=10,$B$4*Hypothèses!$C$19,0)+IF(A34=12,$B$4*Hypothèses!$C$18,0)</f>
        <v/>
      </c>
      <c r="H34" s="25">
        <f>E34-F34-G34</f>
        <v/>
      </c>
      <c r="I34" s="25">
        <f>I33+H34</f>
        <v/>
      </c>
      <c r="J34" s="37">
        <f>IF(I34&gt;=0,A34,9999)</f>
        <v/>
      </c>
    </row>
    <row r="35">
      <c r="A35" s="18" t="n">
        <v>22</v>
      </c>
      <c r="B35" s="18">
        <f>$B$3*Hypothèses!$B$5*(1-Hypothèses!$B$6)^(A35-1)</f>
        <v/>
      </c>
      <c r="C35" s="18">
        <f>Hypothèses!$B$9*(1+Hypothèses!$B$10)^(A35-1)</f>
        <v/>
      </c>
      <c r="D35" s="18">
        <f>MIN(B35*$E$4,$E$3)</f>
        <v/>
      </c>
      <c r="E35" s="25">
        <f>D35*C35</f>
        <v/>
      </c>
      <c r="F35" s="25">
        <f>$B$4*Hypothèses!$B$11</f>
        <v/>
      </c>
      <c r="G35" s="25">
        <f>IF(A35=10,$B$4*Hypothèses!$C$19,0)+IF(A35=12,$B$4*Hypothèses!$C$18,0)</f>
        <v/>
      </c>
      <c r="H35" s="25">
        <f>E35-F35-G35</f>
        <v/>
      </c>
      <c r="I35" s="25">
        <f>I34+H35</f>
        <v/>
      </c>
      <c r="J35" s="37">
        <f>IF(I35&gt;=0,A35,9999)</f>
        <v/>
      </c>
    </row>
    <row r="36">
      <c r="A36" s="18" t="n">
        <v>23</v>
      </c>
      <c r="B36" s="18">
        <f>$B$3*Hypothèses!$B$5*(1-Hypothèses!$B$6)^(A36-1)</f>
        <v/>
      </c>
      <c r="C36" s="18">
        <f>Hypothèses!$B$9*(1+Hypothèses!$B$10)^(A36-1)</f>
        <v/>
      </c>
      <c r="D36" s="18">
        <f>MIN(B36*$E$4,$E$3)</f>
        <v/>
      </c>
      <c r="E36" s="25">
        <f>D36*C36</f>
        <v/>
      </c>
      <c r="F36" s="25">
        <f>$B$4*Hypothèses!$B$11</f>
        <v/>
      </c>
      <c r="G36" s="25">
        <f>IF(A36=10,$B$4*Hypothèses!$C$19,0)+IF(A36=12,$B$4*Hypothèses!$C$18,0)</f>
        <v/>
      </c>
      <c r="H36" s="25">
        <f>E36-F36-G36</f>
        <v/>
      </c>
      <c r="I36" s="25">
        <f>I35+H36</f>
        <v/>
      </c>
      <c r="J36" s="37">
        <f>IF(I36&gt;=0,A36,9999)</f>
        <v/>
      </c>
    </row>
    <row r="37">
      <c r="A37" s="18" t="n">
        <v>24</v>
      </c>
      <c r="B37" s="18">
        <f>$B$3*Hypothèses!$B$5*(1-Hypothèses!$B$6)^(A37-1)</f>
        <v/>
      </c>
      <c r="C37" s="18">
        <f>Hypothèses!$B$9*(1+Hypothèses!$B$10)^(A37-1)</f>
        <v/>
      </c>
      <c r="D37" s="18">
        <f>MIN(B37*$E$4,$E$3)</f>
        <v/>
      </c>
      <c r="E37" s="25">
        <f>D37*C37</f>
        <v/>
      </c>
      <c r="F37" s="25">
        <f>$B$4*Hypothèses!$B$11</f>
        <v/>
      </c>
      <c r="G37" s="25">
        <f>IF(A37=10,$B$4*Hypothèses!$C$19,0)+IF(A37=12,$B$4*Hypothèses!$C$18,0)</f>
        <v/>
      </c>
      <c r="H37" s="25">
        <f>E37-F37-G37</f>
        <v/>
      </c>
      <c r="I37" s="25">
        <f>I36+H37</f>
        <v/>
      </c>
      <c r="J37" s="37">
        <f>IF(I37&gt;=0,A37,9999)</f>
        <v/>
      </c>
    </row>
    <row r="38">
      <c r="A38" s="18" t="n">
        <v>25</v>
      </c>
      <c r="B38" s="18">
        <f>$B$3*Hypothèses!$B$5*(1-Hypothèses!$B$6)^(A38-1)</f>
        <v/>
      </c>
      <c r="C38" s="18">
        <f>Hypothèses!$B$9*(1+Hypothèses!$B$10)^(A38-1)</f>
        <v/>
      </c>
      <c r="D38" s="18">
        <f>MIN(B38*$E$4,$E$3)</f>
        <v/>
      </c>
      <c r="E38" s="25">
        <f>D38*C38</f>
        <v/>
      </c>
      <c r="F38" s="25">
        <f>$B$4*Hypothèses!$B$11</f>
        <v/>
      </c>
      <c r="G38" s="25">
        <f>IF(A38=10,$B$4*Hypothèses!$C$19,0)+IF(A38=12,$B$4*Hypothèses!$C$18,0)</f>
        <v/>
      </c>
      <c r="H38" s="25">
        <f>E38-F38-G38</f>
        <v/>
      </c>
      <c r="I38" s="25">
        <f>I37+H38</f>
        <v/>
      </c>
      <c r="J38" s="37">
        <f>IF(I38&gt;=0,A38,9999)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hidden="1" width="13" customWidth="1" min="10" max="10"/>
  </cols>
  <sheetData>
    <row r="1">
      <c r="A1" s="1" t="inlineStr">
        <is>
          <t>Cash-flow 25 ans — B3 · Sur-mesure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29" t="inlineStr">
        <is>
          <t>Puissance</t>
        </is>
      </c>
      <c r="B3" s="30">
        <f>'Cas client'!$B$13</f>
        <v/>
      </c>
      <c r="D3" s="29" t="inlineStr">
        <is>
          <t>Conso annuelle</t>
        </is>
      </c>
      <c r="E3" s="31">
        <f>'Cas client'!$B$11</f>
        <v/>
      </c>
      <c r="G3" s="29" t="inlineStr">
        <is>
          <t>VAN (25 ans)</t>
        </is>
      </c>
      <c r="H3" s="32">
        <f>NPV(Hypothèses!$B$13,H14:H38)+H13</f>
        <v/>
      </c>
    </row>
    <row r="4">
      <c r="A4" s="29" t="inlineStr">
        <is>
          <t>CAPEX</t>
        </is>
      </c>
      <c r="B4" s="33">
        <f>B3*Hypothèses!$D$16</f>
        <v/>
      </c>
      <c r="D4" s="29" t="inlineStr">
        <is>
          <t>Taux autoconso.</t>
        </is>
      </c>
      <c r="E4" s="34">
        <f>Hypothèses!$D$17</f>
        <v/>
      </c>
      <c r="G4" s="29" t="inlineStr">
        <is>
          <t>Année de rentabilité</t>
        </is>
      </c>
      <c r="H4" s="35">
        <f>IF(MIN(J13:J38)&gt;Hypothèses!$B$12,"&gt;25 ans",MIN(J13:J38))</f>
        <v/>
      </c>
    </row>
    <row r="12">
      <c r="A12" s="36" t="inlineStr">
        <is>
          <t>Année</t>
        </is>
      </c>
      <c r="B12" s="36" t="inlineStr">
        <is>
          <t>Production (kWh)</t>
        </is>
      </c>
      <c r="C12" s="36" t="inlineStr">
        <is>
          <t>Tarif (FCFA/kWh)</t>
        </is>
      </c>
      <c r="D12" s="36" t="inlineStr">
        <is>
          <t>Autoconso. (kWh)</t>
        </is>
      </c>
      <c r="E12" s="36" t="inlineStr">
        <is>
          <t>Économie brute</t>
        </is>
      </c>
      <c r="F12" s="36" t="inlineStr">
        <is>
          <t>O&amp;M</t>
        </is>
      </c>
      <c r="G12" s="36" t="inlineStr">
        <is>
          <t>Remplacements</t>
        </is>
      </c>
      <c r="H12" s="36" t="inlineStr">
        <is>
          <t>Flux net</t>
        </is>
      </c>
      <c r="I12" s="36" t="inlineStr">
        <is>
          <t>Flux cumulé</t>
        </is>
      </c>
    </row>
    <row r="13">
      <c r="A13" s="18" t="n">
        <v>0</v>
      </c>
      <c r="B13" s="15" t="n">
        <v>0</v>
      </c>
      <c r="C13" s="25" t="n">
        <v>0</v>
      </c>
      <c r="D13" s="15" t="n">
        <v>0</v>
      </c>
      <c r="E13" s="25" t="n">
        <v>0</v>
      </c>
      <c r="F13" s="25" t="n">
        <v>0</v>
      </c>
      <c r="G13" s="25" t="n">
        <v>0</v>
      </c>
      <c r="H13" s="25">
        <f>-$B$4</f>
        <v/>
      </c>
      <c r="I13" s="25">
        <f>H13</f>
        <v/>
      </c>
      <c r="J13" s="37">
        <f>IF(I13&gt;=0,A13,9999)</f>
        <v/>
      </c>
    </row>
    <row r="14">
      <c r="A14" s="18" t="n">
        <v>1</v>
      </c>
      <c r="B14" s="18">
        <f>$B$3*Hypothèses!$B$5*(1-Hypothèses!$B$6)^(A14-1)</f>
        <v/>
      </c>
      <c r="C14" s="18">
        <f>Hypothèses!$B$9*(1+Hypothèses!$B$10)^(A14-1)</f>
        <v/>
      </c>
      <c r="D14" s="18">
        <f>MIN(B14*$E$4,$E$3)</f>
        <v/>
      </c>
      <c r="E14" s="25">
        <f>D14*C14</f>
        <v/>
      </c>
      <c r="F14" s="25">
        <f>$B$4*Hypothèses!$B$11</f>
        <v/>
      </c>
      <c r="G14" s="25">
        <f>IF(A14=10,$B$4*Hypothèses!$D$19,0)+IF(A14=12,$B$4*Hypothèses!$D$18,0)</f>
        <v/>
      </c>
      <c r="H14" s="25">
        <f>E14-F14-G14</f>
        <v/>
      </c>
      <c r="I14" s="25">
        <f>I13+H14</f>
        <v/>
      </c>
      <c r="J14" s="37">
        <f>IF(I14&gt;=0,A14,9999)</f>
        <v/>
      </c>
    </row>
    <row r="15">
      <c r="A15" s="18" t="n">
        <v>2</v>
      </c>
      <c r="B15" s="18">
        <f>$B$3*Hypothèses!$B$5*(1-Hypothèses!$B$6)^(A15-1)</f>
        <v/>
      </c>
      <c r="C15" s="18">
        <f>Hypothèses!$B$9*(1+Hypothèses!$B$10)^(A15-1)</f>
        <v/>
      </c>
      <c r="D15" s="18">
        <f>MIN(B15*$E$4,$E$3)</f>
        <v/>
      </c>
      <c r="E15" s="25">
        <f>D15*C15</f>
        <v/>
      </c>
      <c r="F15" s="25">
        <f>$B$4*Hypothèses!$B$11</f>
        <v/>
      </c>
      <c r="G15" s="25">
        <f>IF(A15=10,$B$4*Hypothèses!$D$19,0)+IF(A15=12,$B$4*Hypothèses!$D$18,0)</f>
        <v/>
      </c>
      <c r="H15" s="25">
        <f>E15-F15-G15</f>
        <v/>
      </c>
      <c r="I15" s="25">
        <f>I14+H15</f>
        <v/>
      </c>
      <c r="J15" s="37">
        <f>IF(I15&gt;=0,A15,9999)</f>
        <v/>
      </c>
    </row>
    <row r="16">
      <c r="A16" s="18" t="n">
        <v>3</v>
      </c>
      <c r="B16" s="18">
        <f>$B$3*Hypothèses!$B$5*(1-Hypothèses!$B$6)^(A16-1)</f>
        <v/>
      </c>
      <c r="C16" s="18">
        <f>Hypothèses!$B$9*(1+Hypothèses!$B$10)^(A16-1)</f>
        <v/>
      </c>
      <c r="D16" s="18">
        <f>MIN(B16*$E$4,$E$3)</f>
        <v/>
      </c>
      <c r="E16" s="25">
        <f>D16*C16</f>
        <v/>
      </c>
      <c r="F16" s="25">
        <f>$B$4*Hypothèses!$B$11</f>
        <v/>
      </c>
      <c r="G16" s="25">
        <f>IF(A16=10,$B$4*Hypothèses!$D$19,0)+IF(A16=12,$B$4*Hypothèses!$D$18,0)</f>
        <v/>
      </c>
      <c r="H16" s="25">
        <f>E16-F16-G16</f>
        <v/>
      </c>
      <c r="I16" s="25">
        <f>I15+H16</f>
        <v/>
      </c>
      <c r="J16" s="37">
        <f>IF(I16&gt;=0,A16,9999)</f>
        <v/>
      </c>
    </row>
    <row r="17">
      <c r="A17" s="18" t="n">
        <v>4</v>
      </c>
      <c r="B17" s="18">
        <f>$B$3*Hypothèses!$B$5*(1-Hypothèses!$B$6)^(A17-1)</f>
        <v/>
      </c>
      <c r="C17" s="18">
        <f>Hypothèses!$B$9*(1+Hypothèses!$B$10)^(A17-1)</f>
        <v/>
      </c>
      <c r="D17" s="18">
        <f>MIN(B17*$E$4,$E$3)</f>
        <v/>
      </c>
      <c r="E17" s="25">
        <f>D17*C17</f>
        <v/>
      </c>
      <c r="F17" s="25">
        <f>$B$4*Hypothèses!$B$11</f>
        <v/>
      </c>
      <c r="G17" s="25">
        <f>IF(A17=10,$B$4*Hypothèses!$D$19,0)+IF(A17=12,$B$4*Hypothèses!$D$18,0)</f>
        <v/>
      </c>
      <c r="H17" s="25">
        <f>E17-F17-G17</f>
        <v/>
      </c>
      <c r="I17" s="25">
        <f>I16+H17</f>
        <v/>
      </c>
      <c r="J17" s="37">
        <f>IF(I17&gt;=0,A17,9999)</f>
        <v/>
      </c>
    </row>
    <row r="18">
      <c r="A18" s="18" t="n">
        <v>5</v>
      </c>
      <c r="B18" s="18">
        <f>$B$3*Hypothèses!$B$5*(1-Hypothèses!$B$6)^(A18-1)</f>
        <v/>
      </c>
      <c r="C18" s="18">
        <f>Hypothèses!$B$9*(1+Hypothèses!$B$10)^(A18-1)</f>
        <v/>
      </c>
      <c r="D18" s="18">
        <f>MIN(B18*$E$4,$E$3)</f>
        <v/>
      </c>
      <c r="E18" s="25">
        <f>D18*C18</f>
        <v/>
      </c>
      <c r="F18" s="25">
        <f>$B$4*Hypothèses!$B$11</f>
        <v/>
      </c>
      <c r="G18" s="25">
        <f>IF(A18=10,$B$4*Hypothèses!$D$19,0)+IF(A18=12,$B$4*Hypothèses!$D$18,0)</f>
        <v/>
      </c>
      <c r="H18" s="25">
        <f>E18-F18-G18</f>
        <v/>
      </c>
      <c r="I18" s="25">
        <f>I17+H18</f>
        <v/>
      </c>
      <c r="J18" s="37">
        <f>IF(I18&gt;=0,A18,9999)</f>
        <v/>
      </c>
    </row>
    <row r="19">
      <c r="A19" s="18" t="n">
        <v>6</v>
      </c>
      <c r="B19" s="18">
        <f>$B$3*Hypothèses!$B$5*(1-Hypothèses!$B$6)^(A19-1)</f>
        <v/>
      </c>
      <c r="C19" s="18">
        <f>Hypothèses!$B$9*(1+Hypothèses!$B$10)^(A19-1)</f>
        <v/>
      </c>
      <c r="D19" s="18">
        <f>MIN(B19*$E$4,$E$3)</f>
        <v/>
      </c>
      <c r="E19" s="25">
        <f>D19*C19</f>
        <v/>
      </c>
      <c r="F19" s="25">
        <f>$B$4*Hypothèses!$B$11</f>
        <v/>
      </c>
      <c r="G19" s="25">
        <f>IF(A19=10,$B$4*Hypothèses!$D$19,0)+IF(A19=12,$B$4*Hypothèses!$D$18,0)</f>
        <v/>
      </c>
      <c r="H19" s="25">
        <f>E19-F19-G19</f>
        <v/>
      </c>
      <c r="I19" s="25">
        <f>I18+H19</f>
        <v/>
      </c>
      <c r="J19" s="37">
        <f>IF(I19&gt;=0,A19,9999)</f>
        <v/>
      </c>
    </row>
    <row r="20">
      <c r="A20" s="18" t="n">
        <v>7</v>
      </c>
      <c r="B20" s="18">
        <f>$B$3*Hypothèses!$B$5*(1-Hypothèses!$B$6)^(A20-1)</f>
        <v/>
      </c>
      <c r="C20" s="18">
        <f>Hypothèses!$B$9*(1+Hypothèses!$B$10)^(A20-1)</f>
        <v/>
      </c>
      <c r="D20" s="18">
        <f>MIN(B20*$E$4,$E$3)</f>
        <v/>
      </c>
      <c r="E20" s="25">
        <f>D20*C20</f>
        <v/>
      </c>
      <c r="F20" s="25">
        <f>$B$4*Hypothèses!$B$11</f>
        <v/>
      </c>
      <c r="G20" s="25">
        <f>IF(A20=10,$B$4*Hypothèses!$D$19,0)+IF(A20=12,$B$4*Hypothèses!$D$18,0)</f>
        <v/>
      </c>
      <c r="H20" s="25">
        <f>E20-F20-G20</f>
        <v/>
      </c>
      <c r="I20" s="25">
        <f>I19+H20</f>
        <v/>
      </c>
      <c r="J20" s="37">
        <f>IF(I20&gt;=0,A20,9999)</f>
        <v/>
      </c>
    </row>
    <row r="21">
      <c r="A21" s="18" t="n">
        <v>8</v>
      </c>
      <c r="B21" s="18">
        <f>$B$3*Hypothèses!$B$5*(1-Hypothèses!$B$6)^(A21-1)</f>
        <v/>
      </c>
      <c r="C21" s="18">
        <f>Hypothèses!$B$9*(1+Hypothèses!$B$10)^(A21-1)</f>
        <v/>
      </c>
      <c r="D21" s="18">
        <f>MIN(B21*$E$4,$E$3)</f>
        <v/>
      </c>
      <c r="E21" s="25">
        <f>D21*C21</f>
        <v/>
      </c>
      <c r="F21" s="25">
        <f>$B$4*Hypothèses!$B$11</f>
        <v/>
      </c>
      <c r="G21" s="25">
        <f>IF(A21=10,$B$4*Hypothèses!$D$19,0)+IF(A21=12,$B$4*Hypothèses!$D$18,0)</f>
        <v/>
      </c>
      <c r="H21" s="25">
        <f>E21-F21-G21</f>
        <v/>
      </c>
      <c r="I21" s="25">
        <f>I20+H21</f>
        <v/>
      </c>
      <c r="J21" s="37">
        <f>IF(I21&gt;=0,A21,9999)</f>
        <v/>
      </c>
    </row>
    <row r="22">
      <c r="A22" s="18" t="n">
        <v>9</v>
      </c>
      <c r="B22" s="18">
        <f>$B$3*Hypothèses!$B$5*(1-Hypothèses!$B$6)^(A22-1)</f>
        <v/>
      </c>
      <c r="C22" s="18">
        <f>Hypothèses!$B$9*(1+Hypothèses!$B$10)^(A22-1)</f>
        <v/>
      </c>
      <c r="D22" s="18">
        <f>MIN(B22*$E$4,$E$3)</f>
        <v/>
      </c>
      <c r="E22" s="25">
        <f>D22*C22</f>
        <v/>
      </c>
      <c r="F22" s="25">
        <f>$B$4*Hypothèses!$B$11</f>
        <v/>
      </c>
      <c r="G22" s="25">
        <f>IF(A22=10,$B$4*Hypothèses!$D$19,0)+IF(A22=12,$B$4*Hypothèses!$D$18,0)</f>
        <v/>
      </c>
      <c r="H22" s="25">
        <f>E22-F22-G22</f>
        <v/>
      </c>
      <c r="I22" s="25">
        <f>I21+H22</f>
        <v/>
      </c>
      <c r="J22" s="37">
        <f>IF(I22&gt;=0,A22,9999)</f>
        <v/>
      </c>
    </row>
    <row r="23">
      <c r="A23" s="18" t="n">
        <v>10</v>
      </c>
      <c r="B23" s="18">
        <f>$B$3*Hypothèses!$B$5*(1-Hypothèses!$B$6)^(A23-1)</f>
        <v/>
      </c>
      <c r="C23" s="18">
        <f>Hypothèses!$B$9*(1+Hypothèses!$B$10)^(A23-1)</f>
        <v/>
      </c>
      <c r="D23" s="18">
        <f>MIN(B23*$E$4,$E$3)</f>
        <v/>
      </c>
      <c r="E23" s="25">
        <f>D23*C23</f>
        <v/>
      </c>
      <c r="F23" s="25">
        <f>$B$4*Hypothèses!$B$11</f>
        <v/>
      </c>
      <c r="G23" s="25">
        <f>IF(A23=10,$B$4*Hypothèses!$D$19,0)+IF(A23=12,$B$4*Hypothèses!$D$18,0)</f>
        <v/>
      </c>
      <c r="H23" s="25">
        <f>E23-F23-G23</f>
        <v/>
      </c>
      <c r="I23" s="25">
        <f>I22+H23</f>
        <v/>
      </c>
      <c r="J23" s="37">
        <f>IF(I23&gt;=0,A23,9999)</f>
        <v/>
      </c>
    </row>
    <row r="24">
      <c r="A24" s="18" t="n">
        <v>11</v>
      </c>
      <c r="B24" s="18">
        <f>$B$3*Hypothèses!$B$5*(1-Hypothèses!$B$6)^(A24-1)</f>
        <v/>
      </c>
      <c r="C24" s="18">
        <f>Hypothèses!$B$9*(1+Hypothèses!$B$10)^(A24-1)</f>
        <v/>
      </c>
      <c r="D24" s="18">
        <f>MIN(B24*$E$4,$E$3)</f>
        <v/>
      </c>
      <c r="E24" s="25">
        <f>D24*C24</f>
        <v/>
      </c>
      <c r="F24" s="25">
        <f>$B$4*Hypothèses!$B$11</f>
        <v/>
      </c>
      <c r="G24" s="25">
        <f>IF(A24=10,$B$4*Hypothèses!$D$19,0)+IF(A24=12,$B$4*Hypothèses!$D$18,0)</f>
        <v/>
      </c>
      <c r="H24" s="25">
        <f>E24-F24-G24</f>
        <v/>
      </c>
      <c r="I24" s="25">
        <f>I23+H24</f>
        <v/>
      </c>
      <c r="J24" s="37">
        <f>IF(I24&gt;=0,A24,9999)</f>
        <v/>
      </c>
    </row>
    <row r="25">
      <c r="A25" s="18" t="n">
        <v>12</v>
      </c>
      <c r="B25" s="18">
        <f>$B$3*Hypothèses!$B$5*(1-Hypothèses!$B$6)^(A25-1)</f>
        <v/>
      </c>
      <c r="C25" s="18">
        <f>Hypothèses!$B$9*(1+Hypothèses!$B$10)^(A25-1)</f>
        <v/>
      </c>
      <c r="D25" s="18">
        <f>MIN(B25*$E$4,$E$3)</f>
        <v/>
      </c>
      <c r="E25" s="25">
        <f>D25*C25</f>
        <v/>
      </c>
      <c r="F25" s="25">
        <f>$B$4*Hypothèses!$B$11</f>
        <v/>
      </c>
      <c r="G25" s="25">
        <f>IF(A25=10,$B$4*Hypothèses!$D$19,0)+IF(A25=12,$B$4*Hypothèses!$D$18,0)</f>
        <v/>
      </c>
      <c r="H25" s="25">
        <f>E25-F25-G25</f>
        <v/>
      </c>
      <c r="I25" s="25">
        <f>I24+H25</f>
        <v/>
      </c>
      <c r="J25" s="37">
        <f>IF(I25&gt;=0,A25,9999)</f>
        <v/>
      </c>
    </row>
    <row r="26">
      <c r="A26" s="18" t="n">
        <v>13</v>
      </c>
      <c r="B26" s="18">
        <f>$B$3*Hypothèses!$B$5*(1-Hypothèses!$B$6)^(A26-1)</f>
        <v/>
      </c>
      <c r="C26" s="18">
        <f>Hypothèses!$B$9*(1+Hypothèses!$B$10)^(A26-1)</f>
        <v/>
      </c>
      <c r="D26" s="18">
        <f>MIN(B26*$E$4,$E$3)</f>
        <v/>
      </c>
      <c r="E26" s="25">
        <f>D26*C26</f>
        <v/>
      </c>
      <c r="F26" s="25">
        <f>$B$4*Hypothèses!$B$11</f>
        <v/>
      </c>
      <c r="G26" s="25">
        <f>IF(A26=10,$B$4*Hypothèses!$D$19,0)+IF(A26=12,$B$4*Hypothèses!$D$18,0)</f>
        <v/>
      </c>
      <c r="H26" s="25">
        <f>E26-F26-G26</f>
        <v/>
      </c>
      <c r="I26" s="25">
        <f>I25+H26</f>
        <v/>
      </c>
      <c r="J26" s="37">
        <f>IF(I26&gt;=0,A26,9999)</f>
        <v/>
      </c>
    </row>
    <row r="27">
      <c r="A27" s="18" t="n">
        <v>14</v>
      </c>
      <c r="B27" s="18">
        <f>$B$3*Hypothèses!$B$5*(1-Hypothèses!$B$6)^(A27-1)</f>
        <v/>
      </c>
      <c r="C27" s="18">
        <f>Hypothèses!$B$9*(1+Hypothèses!$B$10)^(A27-1)</f>
        <v/>
      </c>
      <c r="D27" s="18">
        <f>MIN(B27*$E$4,$E$3)</f>
        <v/>
      </c>
      <c r="E27" s="25">
        <f>D27*C27</f>
        <v/>
      </c>
      <c r="F27" s="25">
        <f>$B$4*Hypothèses!$B$11</f>
        <v/>
      </c>
      <c r="G27" s="25">
        <f>IF(A27=10,$B$4*Hypothèses!$D$19,0)+IF(A27=12,$B$4*Hypothèses!$D$18,0)</f>
        <v/>
      </c>
      <c r="H27" s="25">
        <f>E27-F27-G27</f>
        <v/>
      </c>
      <c r="I27" s="25">
        <f>I26+H27</f>
        <v/>
      </c>
      <c r="J27" s="37">
        <f>IF(I27&gt;=0,A27,9999)</f>
        <v/>
      </c>
    </row>
    <row r="28">
      <c r="A28" s="18" t="n">
        <v>15</v>
      </c>
      <c r="B28" s="18">
        <f>$B$3*Hypothèses!$B$5*(1-Hypothèses!$B$6)^(A28-1)</f>
        <v/>
      </c>
      <c r="C28" s="18">
        <f>Hypothèses!$B$9*(1+Hypothèses!$B$10)^(A28-1)</f>
        <v/>
      </c>
      <c r="D28" s="18">
        <f>MIN(B28*$E$4,$E$3)</f>
        <v/>
      </c>
      <c r="E28" s="25">
        <f>D28*C28</f>
        <v/>
      </c>
      <c r="F28" s="25">
        <f>$B$4*Hypothèses!$B$11</f>
        <v/>
      </c>
      <c r="G28" s="25">
        <f>IF(A28=10,$B$4*Hypothèses!$D$19,0)+IF(A28=12,$B$4*Hypothèses!$D$18,0)</f>
        <v/>
      </c>
      <c r="H28" s="25">
        <f>E28-F28-G28</f>
        <v/>
      </c>
      <c r="I28" s="25">
        <f>I27+H28</f>
        <v/>
      </c>
      <c r="J28" s="37">
        <f>IF(I28&gt;=0,A28,9999)</f>
        <v/>
      </c>
    </row>
    <row r="29">
      <c r="A29" s="18" t="n">
        <v>16</v>
      </c>
      <c r="B29" s="18">
        <f>$B$3*Hypothèses!$B$5*(1-Hypothèses!$B$6)^(A29-1)</f>
        <v/>
      </c>
      <c r="C29" s="18">
        <f>Hypothèses!$B$9*(1+Hypothèses!$B$10)^(A29-1)</f>
        <v/>
      </c>
      <c r="D29" s="18">
        <f>MIN(B29*$E$4,$E$3)</f>
        <v/>
      </c>
      <c r="E29" s="25">
        <f>D29*C29</f>
        <v/>
      </c>
      <c r="F29" s="25">
        <f>$B$4*Hypothèses!$B$11</f>
        <v/>
      </c>
      <c r="G29" s="25">
        <f>IF(A29=10,$B$4*Hypothèses!$D$19,0)+IF(A29=12,$B$4*Hypothèses!$D$18,0)</f>
        <v/>
      </c>
      <c r="H29" s="25">
        <f>E29-F29-G29</f>
        <v/>
      </c>
      <c r="I29" s="25">
        <f>I28+H29</f>
        <v/>
      </c>
      <c r="J29" s="37">
        <f>IF(I29&gt;=0,A29,9999)</f>
        <v/>
      </c>
    </row>
    <row r="30">
      <c r="A30" s="18" t="n">
        <v>17</v>
      </c>
      <c r="B30" s="18">
        <f>$B$3*Hypothèses!$B$5*(1-Hypothèses!$B$6)^(A30-1)</f>
        <v/>
      </c>
      <c r="C30" s="18">
        <f>Hypothèses!$B$9*(1+Hypothèses!$B$10)^(A30-1)</f>
        <v/>
      </c>
      <c r="D30" s="18">
        <f>MIN(B30*$E$4,$E$3)</f>
        <v/>
      </c>
      <c r="E30" s="25">
        <f>D30*C30</f>
        <v/>
      </c>
      <c r="F30" s="25">
        <f>$B$4*Hypothèses!$B$11</f>
        <v/>
      </c>
      <c r="G30" s="25">
        <f>IF(A30=10,$B$4*Hypothèses!$D$19,0)+IF(A30=12,$B$4*Hypothèses!$D$18,0)</f>
        <v/>
      </c>
      <c r="H30" s="25">
        <f>E30-F30-G30</f>
        <v/>
      </c>
      <c r="I30" s="25">
        <f>I29+H30</f>
        <v/>
      </c>
      <c r="J30" s="37">
        <f>IF(I30&gt;=0,A30,9999)</f>
        <v/>
      </c>
    </row>
    <row r="31">
      <c r="A31" s="18" t="n">
        <v>18</v>
      </c>
      <c r="B31" s="18">
        <f>$B$3*Hypothèses!$B$5*(1-Hypothèses!$B$6)^(A31-1)</f>
        <v/>
      </c>
      <c r="C31" s="18">
        <f>Hypothèses!$B$9*(1+Hypothèses!$B$10)^(A31-1)</f>
        <v/>
      </c>
      <c r="D31" s="18">
        <f>MIN(B31*$E$4,$E$3)</f>
        <v/>
      </c>
      <c r="E31" s="25">
        <f>D31*C31</f>
        <v/>
      </c>
      <c r="F31" s="25">
        <f>$B$4*Hypothèses!$B$11</f>
        <v/>
      </c>
      <c r="G31" s="25">
        <f>IF(A31=10,$B$4*Hypothèses!$D$19,0)+IF(A31=12,$B$4*Hypothèses!$D$18,0)</f>
        <v/>
      </c>
      <c r="H31" s="25">
        <f>E31-F31-G31</f>
        <v/>
      </c>
      <c r="I31" s="25">
        <f>I30+H31</f>
        <v/>
      </c>
      <c r="J31" s="37">
        <f>IF(I31&gt;=0,A31,9999)</f>
        <v/>
      </c>
    </row>
    <row r="32">
      <c r="A32" s="18" t="n">
        <v>19</v>
      </c>
      <c r="B32" s="18">
        <f>$B$3*Hypothèses!$B$5*(1-Hypothèses!$B$6)^(A32-1)</f>
        <v/>
      </c>
      <c r="C32" s="18">
        <f>Hypothèses!$B$9*(1+Hypothèses!$B$10)^(A32-1)</f>
        <v/>
      </c>
      <c r="D32" s="18">
        <f>MIN(B32*$E$4,$E$3)</f>
        <v/>
      </c>
      <c r="E32" s="25">
        <f>D32*C32</f>
        <v/>
      </c>
      <c r="F32" s="25">
        <f>$B$4*Hypothèses!$B$11</f>
        <v/>
      </c>
      <c r="G32" s="25">
        <f>IF(A32=10,$B$4*Hypothèses!$D$19,0)+IF(A32=12,$B$4*Hypothèses!$D$18,0)</f>
        <v/>
      </c>
      <c r="H32" s="25">
        <f>E32-F32-G32</f>
        <v/>
      </c>
      <c r="I32" s="25">
        <f>I31+H32</f>
        <v/>
      </c>
      <c r="J32" s="37">
        <f>IF(I32&gt;=0,A32,9999)</f>
        <v/>
      </c>
    </row>
    <row r="33">
      <c r="A33" s="18" t="n">
        <v>20</v>
      </c>
      <c r="B33" s="18">
        <f>$B$3*Hypothèses!$B$5*(1-Hypothèses!$B$6)^(A33-1)</f>
        <v/>
      </c>
      <c r="C33" s="18">
        <f>Hypothèses!$B$9*(1+Hypothèses!$B$10)^(A33-1)</f>
        <v/>
      </c>
      <c r="D33" s="18">
        <f>MIN(B33*$E$4,$E$3)</f>
        <v/>
      </c>
      <c r="E33" s="25">
        <f>D33*C33</f>
        <v/>
      </c>
      <c r="F33" s="25">
        <f>$B$4*Hypothèses!$B$11</f>
        <v/>
      </c>
      <c r="G33" s="25">
        <f>IF(A33=10,$B$4*Hypothèses!$D$19,0)+IF(A33=12,$B$4*Hypothèses!$D$18,0)</f>
        <v/>
      </c>
      <c r="H33" s="25">
        <f>E33-F33-G33</f>
        <v/>
      </c>
      <c r="I33" s="25">
        <f>I32+H33</f>
        <v/>
      </c>
      <c r="J33" s="37">
        <f>IF(I33&gt;=0,A33,9999)</f>
        <v/>
      </c>
    </row>
    <row r="34">
      <c r="A34" s="18" t="n">
        <v>21</v>
      </c>
      <c r="B34" s="18">
        <f>$B$3*Hypothèses!$B$5*(1-Hypothèses!$B$6)^(A34-1)</f>
        <v/>
      </c>
      <c r="C34" s="18">
        <f>Hypothèses!$B$9*(1+Hypothèses!$B$10)^(A34-1)</f>
        <v/>
      </c>
      <c r="D34" s="18">
        <f>MIN(B34*$E$4,$E$3)</f>
        <v/>
      </c>
      <c r="E34" s="25">
        <f>D34*C34</f>
        <v/>
      </c>
      <c r="F34" s="25">
        <f>$B$4*Hypothèses!$B$11</f>
        <v/>
      </c>
      <c r="G34" s="25">
        <f>IF(A34=10,$B$4*Hypothèses!$D$19,0)+IF(A34=12,$B$4*Hypothèses!$D$18,0)</f>
        <v/>
      </c>
      <c r="H34" s="25">
        <f>E34-F34-G34</f>
        <v/>
      </c>
      <c r="I34" s="25">
        <f>I33+H34</f>
        <v/>
      </c>
      <c r="J34" s="37">
        <f>IF(I34&gt;=0,A34,9999)</f>
        <v/>
      </c>
    </row>
    <row r="35">
      <c r="A35" s="18" t="n">
        <v>22</v>
      </c>
      <c r="B35" s="18">
        <f>$B$3*Hypothèses!$B$5*(1-Hypothèses!$B$6)^(A35-1)</f>
        <v/>
      </c>
      <c r="C35" s="18">
        <f>Hypothèses!$B$9*(1+Hypothèses!$B$10)^(A35-1)</f>
        <v/>
      </c>
      <c r="D35" s="18">
        <f>MIN(B35*$E$4,$E$3)</f>
        <v/>
      </c>
      <c r="E35" s="25">
        <f>D35*C35</f>
        <v/>
      </c>
      <c r="F35" s="25">
        <f>$B$4*Hypothèses!$B$11</f>
        <v/>
      </c>
      <c r="G35" s="25">
        <f>IF(A35=10,$B$4*Hypothèses!$D$19,0)+IF(A35=12,$B$4*Hypothèses!$D$18,0)</f>
        <v/>
      </c>
      <c r="H35" s="25">
        <f>E35-F35-G35</f>
        <v/>
      </c>
      <c r="I35" s="25">
        <f>I34+H35</f>
        <v/>
      </c>
      <c r="J35" s="37">
        <f>IF(I35&gt;=0,A35,9999)</f>
        <v/>
      </c>
    </row>
    <row r="36">
      <c r="A36" s="18" t="n">
        <v>23</v>
      </c>
      <c r="B36" s="18">
        <f>$B$3*Hypothèses!$B$5*(1-Hypothèses!$B$6)^(A36-1)</f>
        <v/>
      </c>
      <c r="C36" s="18">
        <f>Hypothèses!$B$9*(1+Hypothèses!$B$10)^(A36-1)</f>
        <v/>
      </c>
      <c r="D36" s="18">
        <f>MIN(B36*$E$4,$E$3)</f>
        <v/>
      </c>
      <c r="E36" s="25">
        <f>D36*C36</f>
        <v/>
      </c>
      <c r="F36" s="25">
        <f>$B$4*Hypothèses!$B$11</f>
        <v/>
      </c>
      <c r="G36" s="25">
        <f>IF(A36=10,$B$4*Hypothèses!$D$19,0)+IF(A36=12,$B$4*Hypothèses!$D$18,0)</f>
        <v/>
      </c>
      <c r="H36" s="25">
        <f>E36-F36-G36</f>
        <v/>
      </c>
      <c r="I36" s="25">
        <f>I35+H36</f>
        <v/>
      </c>
      <c r="J36" s="37">
        <f>IF(I36&gt;=0,A36,9999)</f>
        <v/>
      </c>
    </row>
    <row r="37">
      <c r="A37" s="18" t="n">
        <v>24</v>
      </c>
      <c r="B37" s="18">
        <f>$B$3*Hypothèses!$B$5*(1-Hypothèses!$B$6)^(A37-1)</f>
        <v/>
      </c>
      <c r="C37" s="18">
        <f>Hypothèses!$B$9*(1+Hypothèses!$B$10)^(A37-1)</f>
        <v/>
      </c>
      <c r="D37" s="18">
        <f>MIN(B37*$E$4,$E$3)</f>
        <v/>
      </c>
      <c r="E37" s="25">
        <f>D37*C37</f>
        <v/>
      </c>
      <c r="F37" s="25">
        <f>$B$4*Hypothèses!$B$11</f>
        <v/>
      </c>
      <c r="G37" s="25">
        <f>IF(A37=10,$B$4*Hypothèses!$D$19,0)+IF(A37=12,$B$4*Hypothèses!$D$18,0)</f>
        <v/>
      </c>
      <c r="H37" s="25">
        <f>E37-F37-G37</f>
        <v/>
      </c>
      <c r="I37" s="25">
        <f>I36+H37</f>
        <v/>
      </c>
      <c r="J37" s="37">
        <f>IF(I37&gt;=0,A37,9999)</f>
        <v/>
      </c>
    </row>
    <row r="38">
      <c r="A38" s="18" t="n">
        <v>25</v>
      </c>
      <c r="B38" s="18">
        <f>$B$3*Hypothèses!$B$5*(1-Hypothèses!$B$6)^(A38-1)</f>
        <v/>
      </c>
      <c r="C38" s="18">
        <f>Hypothèses!$B$9*(1+Hypothèses!$B$10)^(A38-1)</f>
        <v/>
      </c>
      <c r="D38" s="18">
        <f>MIN(B38*$E$4,$E$3)</f>
        <v/>
      </c>
      <c r="E38" s="25">
        <f>D38*C38</f>
        <v/>
      </c>
      <c r="F38" s="25">
        <f>$B$4*Hypothèses!$B$11</f>
        <v/>
      </c>
      <c r="G38" s="25">
        <f>IF(A38=10,$B$4*Hypothèses!$D$19,0)+IF(A38=12,$B$4*Hypothèses!$D$18,0)</f>
        <v/>
      </c>
      <c r="H38" s="25">
        <f>E38-F38-G38</f>
        <v/>
      </c>
      <c r="I38" s="25">
        <f>I37+H38</f>
        <v/>
      </c>
      <c r="J38" s="37">
        <f>IF(I38&gt;=0,A38,9999)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Sensibilité du payback — Config B1 (injection directe)</t>
        </is>
      </c>
      <c r="B1" s="2" t="n"/>
      <c r="C1" s="2" t="n"/>
      <c r="D1" s="2" t="n"/>
      <c r="E1" s="2" t="n"/>
      <c r="F1" s="2" t="n"/>
    </row>
    <row r="2">
      <c r="A2" s="3" t="inlineStr">
        <is>
          <t>Payback brut (années) selon le tarif électricité (lignes) et le coût du kWc (colonnes).</t>
        </is>
      </c>
    </row>
    <row r="4">
      <c r="A4" s="21" t="inlineStr">
        <is>
          <t>Tarif \ Coût</t>
        </is>
      </c>
      <c r="B4" s="38" t="n">
        <v>600000</v>
      </c>
      <c r="C4" s="38" t="n">
        <v>700000</v>
      </c>
      <c r="D4" s="38" t="n">
        <v>800000</v>
      </c>
      <c r="E4" s="38" t="n">
        <v>900000</v>
      </c>
    </row>
    <row r="5">
      <c r="A5" s="39" t="n">
        <v>60</v>
      </c>
      <c r="B5" s="40">
        <f>IFERROR(('Cas client'!$B$13*B$4)/((MIN(('Cas client'!$B$13*Hypothèses!$B$5)*Hypothèses!$B$17,'Cas client'!$B$11)*$A5)-(('Cas client'!$B$13*B$4)*Hypothèses!$B$11)),"n/a")</f>
        <v/>
      </c>
      <c r="C5" s="40">
        <f>IFERROR(('Cas client'!$B$13*C$4)/((MIN(('Cas client'!$B$13*Hypothèses!$B$5)*Hypothèses!$B$17,'Cas client'!$B$11)*$A5)-(('Cas client'!$B$13*C$4)*Hypothèses!$B$11)),"n/a")</f>
        <v/>
      </c>
      <c r="D5" s="40">
        <f>IFERROR(('Cas client'!$B$13*D$4)/((MIN(('Cas client'!$B$13*Hypothèses!$B$5)*Hypothèses!$B$17,'Cas client'!$B$11)*$A5)-(('Cas client'!$B$13*D$4)*Hypothèses!$B$11)),"n/a")</f>
        <v/>
      </c>
      <c r="E5" s="40">
        <f>IFERROR(('Cas client'!$B$13*E$4)/((MIN(('Cas client'!$B$13*Hypothèses!$B$5)*Hypothèses!$B$17,'Cas client'!$B$11)*$A5)-(('Cas client'!$B$13*E$4)*Hypothèses!$B$11)),"n/a")</f>
        <v/>
      </c>
    </row>
    <row r="6">
      <c r="A6" s="39" t="n">
        <v>70</v>
      </c>
      <c r="B6" s="40">
        <f>IFERROR(('Cas client'!$B$13*B$4)/((MIN(('Cas client'!$B$13*Hypothèses!$B$5)*Hypothèses!$B$17,'Cas client'!$B$11)*$A6)-(('Cas client'!$B$13*B$4)*Hypothèses!$B$11)),"n/a")</f>
        <v/>
      </c>
      <c r="C6" s="40">
        <f>IFERROR(('Cas client'!$B$13*C$4)/((MIN(('Cas client'!$B$13*Hypothèses!$B$5)*Hypothèses!$B$17,'Cas client'!$B$11)*$A6)-(('Cas client'!$B$13*C$4)*Hypothèses!$B$11)),"n/a")</f>
        <v/>
      </c>
      <c r="D6" s="40">
        <f>IFERROR(('Cas client'!$B$13*D$4)/((MIN(('Cas client'!$B$13*Hypothèses!$B$5)*Hypothèses!$B$17,'Cas client'!$B$11)*$A6)-(('Cas client'!$B$13*D$4)*Hypothèses!$B$11)),"n/a")</f>
        <v/>
      </c>
      <c r="E6" s="40">
        <f>IFERROR(('Cas client'!$B$13*E$4)/((MIN(('Cas client'!$B$13*Hypothèses!$B$5)*Hypothèses!$B$17,'Cas client'!$B$11)*$A6)-(('Cas client'!$B$13*E$4)*Hypothèses!$B$11)),"n/a")</f>
        <v/>
      </c>
    </row>
    <row r="7">
      <c r="A7" s="39" t="n">
        <v>80</v>
      </c>
      <c r="B7" s="40">
        <f>IFERROR(('Cas client'!$B$13*B$4)/((MIN(('Cas client'!$B$13*Hypothèses!$B$5)*Hypothèses!$B$17,'Cas client'!$B$11)*$A7)-(('Cas client'!$B$13*B$4)*Hypothèses!$B$11)),"n/a")</f>
        <v/>
      </c>
      <c r="C7" s="40">
        <f>IFERROR(('Cas client'!$B$13*C$4)/((MIN(('Cas client'!$B$13*Hypothèses!$B$5)*Hypothèses!$B$17,'Cas client'!$B$11)*$A7)-(('Cas client'!$B$13*C$4)*Hypothèses!$B$11)),"n/a")</f>
        <v/>
      </c>
      <c r="D7" s="40">
        <f>IFERROR(('Cas client'!$B$13*D$4)/((MIN(('Cas client'!$B$13*Hypothèses!$B$5)*Hypothèses!$B$17,'Cas client'!$B$11)*$A7)-(('Cas client'!$B$13*D$4)*Hypothèses!$B$11)),"n/a")</f>
        <v/>
      </c>
      <c r="E7" s="40">
        <f>IFERROR(('Cas client'!$B$13*E$4)/((MIN(('Cas client'!$B$13*Hypothèses!$B$5)*Hypothèses!$B$17,'Cas client'!$B$11)*$A7)-(('Cas client'!$B$13*E$4)*Hypothèses!$B$11)),"n/a")</f>
        <v/>
      </c>
    </row>
    <row r="8">
      <c r="A8" s="39" t="n">
        <v>90</v>
      </c>
      <c r="B8" s="40">
        <f>IFERROR(('Cas client'!$B$13*B$4)/((MIN(('Cas client'!$B$13*Hypothèses!$B$5)*Hypothèses!$B$17,'Cas client'!$B$11)*$A8)-(('Cas client'!$B$13*B$4)*Hypothèses!$B$11)),"n/a")</f>
        <v/>
      </c>
      <c r="C8" s="40">
        <f>IFERROR(('Cas client'!$B$13*C$4)/((MIN(('Cas client'!$B$13*Hypothèses!$B$5)*Hypothèses!$B$17,'Cas client'!$B$11)*$A8)-(('Cas client'!$B$13*C$4)*Hypothèses!$B$11)),"n/a")</f>
        <v/>
      </c>
      <c r="D8" s="40">
        <f>IFERROR(('Cas client'!$B$13*D$4)/((MIN(('Cas client'!$B$13*Hypothèses!$B$5)*Hypothèses!$B$17,'Cas client'!$B$11)*$A8)-(('Cas client'!$B$13*D$4)*Hypothèses!$B$11)),"n/a")</f>
        <v/>
      </c>
      <c r="E8" s="40">
        <f>IFERROR(('Cas client'!$B$13*E$4)/((MIN(('Cas client'!$B$13*Hypothèses!$B$5)*Hypothèses!$B$17,'Cas client'!$B$11)*$A8)-(('Cas client'!$B$13*E$4)*Hypothèses!$B$11)),"n/a")</f>
        <v/>
      </c>
    </row>
    <row r="9">
      <c r="A9" s="39" t="n">
        <v>100</v>
      </c>
      <c r="B9" s="40">
        <f>IFERROR(('Cas client'!$B$13*B$4)/((MIN(('Cas client'!$B$13*Hypothèses!$B$5)*Hypothèses!$B$17,'Cas client'!$B$11)*$A9)-(('Cas client'!$B$13*B$4)*Hypothèses!$B$11)),"n/a")</f>
        <v/>
      </c>
      <c r="C9" s="40">
        <f>IFERROR(('Cas client'!$B$13*C$4)/((MIN(('Cas client'!$B$13*Hypothèses!$B$5)*Hypothèses!$B$17,'Cas client'!$B$11)*$A9)-(('Cas client'!$B$13*C$4)*Hypothèses!$B$11)),"n/a")</f>
        <v/>
      </c>
      <c r="D9" s="40">
        <f>IFERROR(('Cas client'!$B$13*D$4)/((MIN(('Cas client'!$B$13*Hypothèses!$B$5)*Hypothèses!$B$17,'Cas client'!$B$11)*$A9)-(('Cas client'!$B$13*D$4)*Hypothèses!$B$11)),"n/a")</f>
        <v/>
      </c>
      <c r="E9" s="40">
        <f>IFERROR(('Cas client'!$B$13*E$4)/((MIN(('Cas client'!$B$13*Hypothèses!$B$5)*Hypothèses!$B$17,'Cas client'!$B$11)*$A9)-(('Cas client'!$B$13*E$4)*Hypothèses!$B$11)),"n/a")</f>
        <v/>
      </c>
    </row>
    <row r="10">
      <c r="A10" s="39" t="n">
        <v>110</v>
      </c>
      <c r="B10" s="40">
        <f>IFERROR(('Cas client'!$B$13*B$4)/((MIN(('Cas client'!$B$13*Hypothèses!$B$5)*Hypothèses!$B$17,'Cas client'!$B$11)*$A10)-(('Cas client'!$B$13*B$4)*Hypothèses!$B$11)),"n/a")</f>
        <v/>
      </c>
      <c r="C10" s="40">
        <f>IFERROR(('Cas client'!$B$13*C$4)/((MIN(('Cas client'!$B$13*Hypothèses!$B$5)*Hypothèses!$B$17,'Cas client'!$B$11)*$A10)-(('Cas client'!$B$13*C$4)*Hypothèses!$B$11)),"n/a")</f>
        <v/>
      </c>
      <c r="D10" s="40">
        <f>IFERROR(('Cas client'!$B$13*D$4)/((MIN(('Cas client'!$B$13*Hypothèses!$B$5)*Hypothèses!$B$17,'Cas client'!$B$11)*$A10)-(('Cas client'!$B$13*D$4)*Hypothèses!$B$11)),"n/a")</f>
        <v/>
      </c>
      <c r="E10" s="40">
        <f>IFERROR(('Cas client'!$B$13*E$4)/((MIN(('Cas client'!$B$13*Hypothèses!$B$5)*Hypothèses!$B$17,'Cas client'!$B$11)*$A10)-(('Cas client'!$B$13*E$4)*Hypothèses!$B$11)),"n/a")</f>
        <v/>
      </c>
    </row>
    <row r="11">
      <c r="A11" s="39" t="n">
        <v>120</v>
      </c>
      <c r="B11" s="40">
        <f>IFERROR(('Cas client'!$B$13*B$4)/((MIN(('Cas client'!$B$13*Hypothèses!$B$5)*Hypothèses!$B$17,'Cas client'!$B$11)*$A11)-(('Cas client'!$B$13*B$4)*Hypothèses!$B$11)),"n/a")</f>
        <v/>
      </c>
      <c r="C11" s="40">
        <f>IFERROR(('Cas client'!$B$13*C$4)/((MIN(('Cas client'!$B$13*Hypothèses!$B$5)*Hypothèses!$B$17,'Cas client'!$B$11)*$A11)-(('Cas client'!$B$13*C$4)*Hypothèses!$B$11)),"n/a")</f>
        <v/>
      </c>
      <c r="D11" s="40">
        <f>IFERROR(('Cas client'!$B$13*D$4)/((MIN(('Cas client'!$B$13*Hypothèses!$B$5)*Hypothèses!$B$17,'Cas client'!$B$11)*$A11)-(('Cas client'!$B$13*D$4)*Hypothèses!$B$11)),"n/a")</f>
        <v/>
      </c>
      <c r="E11" s="40">
        <f>IFERROR(('Cas client'!$B$13*E$4)/((MIN(('Cas client'!$B$13*Hypothèses!$B$5)*Hypothèses!$B$17,'Cas client'!$B$11)*$A11)-(('Cas client'!$B$13*E$4)*Hypothèses!$B$11)),"n/a")</f>
        <v/>
      </c>
    </row>
    <row r="13">
      <c r="A13" s="3" t="inlineStr">
        <is>
          <t>Colonnes = coût unitaire (FCFA/kWc) · Lignes = tarif évité (FCFA/kWh). Plus le tarif monte / le coût baisse, plus le retour est rapide.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2026-07-21T06:31:46Z</dcterms:created>
  <dcterms:modified xsi:type="dcterms:W3CDTF">2026-07-21T06:31:46Z</dcterms:modified>
</cp:coreProperties>
</file>